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eLivro" defaultThemeVersion="202300"/>
  <mc:AlternateContent xmlns:mc="http://schemas.openxmlformats.org/markup-compatibility/2006">
    <mc:Choice Requires="x15">
      <x15ac:absPath xmlns:x15ac="http://schemas.microsoft.com/office/spreadsheetml/2010/11/ac" url="C:\Users\Research\Desktop\TESE\Estudo1_SHA256\"/>
    </mc:Choice>
  </mc:AlternateContent>
  <xr:revisionPtr revIDLastSave="0" documentId="13_ncr:1_{F32ADC66-AC77-452B-80DD-4D46BD780D38}" xr6:coauthVersionLast="47" xr6:coauthVersionMax="47" xr10:uidLastSave="{00000000-0000-0000-0000-000000000000}"/>
  <bookViews>
    <workbookView xWindow="1290" yWindow="510" windowWidth="26115" windowHeight="13965" activeTab="2" xr2:uid="{29BC8F21-D4F1-4180-8B49-CD8C8520807C}"/>
  </bookViews>
  <sheets>
    <sheet name="Folha1" sheetId="1" r:id="rId1"/>
    <sheet name="Folha3" sheetId="3" r:id="rId2"/>
    <sheet name="Folha4" sheetId="4" r:id="rId3"/>
    <sheet name="testes" sheetId="5" r:id="rId4"/>
    <sheet name="Folha2" sheetId="2" r:id="rId5"/>
    <sheet name="Folha5" sheetId="6" r:id="rId6"/>
  </sheets>
  <functionGroups builtInGroupCount="19"/>
  <definedNames>
    <definedName name="_xleta.AND" hidden="1" xlm="1">#NAME?</definedName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5" l="1"/>
  <c r="AH8" i="5"/>
  <c r="AI8" i="5"/>
  <c r="AJ8" i="5"/>
  <c r="AK8" i="5"/>
  <c r="AL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L4" i="3"/>
  <c r="L5" i="3"/>
  <c r="L6" i="3"/>
  <c r="L7" i="3"/>
  <c r="L8" i="3"/>
  <c r="L9" i="3"/>
  <c r="L10" i="3"/>
  <c r="D4" i="6"/>
  <c r="D5" i="6" s="1"/>
  <c r="E4" i="6"/>
  <c r="E5" i="6" s="1"/>
  <c r="F4" i="6"/>
  <c r="F5" i="6" s="1"/>
  <c r="G4" i="6"/>
  <c r="G5" i="6" s="1"/>
  <c r="H4" i="6"/>
  <c r="H5" i="6" s="1"/>
  <c r="I4" i="6"/>
  <c r="I6" i="6" s="1"/>
  <c r="I7" i="6" s="1"/>
  <c r="J4" i="6"/>
  <c r="J6" i="6" s="1"/>
  <c r="J7" i="6" s="1"/>
  <c r="K4" i="6"/>
  <c r="K5" i="6" s="1"/>
  <c r="L4" i="6"/>
  <c r="L5" i="6" s="1"/>
  <c r="M4" i="6"/>
  <c r="M5" i="6" s="1"/>
  <c r="N4" i="6"/>
  <c r="N5" i="6" s="1"/>
  <c r="O4" i="6"/>
  <c r="O5" i="6" s="1"/>
  <c r="P4" i="6"/>
  <c r="P5" i="6" s="1"/>
  <c r="Q4" i="6"/>
  <c r="Q6" i="6" s="1"/>
  <c r="Q7" i="6" s="1"/>
  <c r="R4" i="6"/>
  <c r="R6" i="6" s="1"/>
  <c r="R7" i="6" s="1"/>
  <c r="S4" i="6"/>
  <c r="S5" i="6" s="1"/>
  <c r="T4" i="6"/>
  <c r="T5" i="6" s="1"/>
  <c r="U4" i="6"/>
  <c r="U5" i="6" s="1"/>
  <c r="V4" i="6"/>
  <c r="V5" i="6" s="1"/>
  <c r="W4" i="6"/>
  <c r="W5" i="6" s="1"/>
  <c r="X4" i="6"/>
  <c r="X6" i="6" s="1"/>
  <c r="X7" i="6" s="1"/>
  <c r="Y4" i="6"/>
  <c r="Y6" i="6" s="1"/>
  <c r="Y7" i="6" s="1"/>
  <c r="Z4" i="6"/>
  <c r="Z5" i="6" s="1"/>
  <c r="AA4" i="6"/>
  <c r="AA5" i="6" s="1"/>
  <c r="AB4" i="6"/>
  <c r="AB5" i="6" s="1"/>
  <c r="AC4" i="6"/>
  <c r="AC5" i="6" s="1"/>
  <c r="AD4" i="6"/>
  <c r="AD5" i="6" s="1"/>
  <c r="AE4" i="6"/>
  <c r="AE5" i="6" s="1"/>
  <c r="AF4" i="6"/>
  <c r="AF5" i="6" s="1"/>
  <c r="AG4" i="6"/>
  <c r="AG6" i="6" s="1"/>
  <c r="AG7" i="6" s="1"/>
  <c r="AH4" i="6"/>
  <c r="AH5" i="6" s="1"/>
  <c r="AI4" i="6"/>
  <c r="AI5" i="6" s="1"/>
  <c r="F2316" i="4"/>
  <c r="G2316" i="4"/>
  <c r="H2316" i="4"/>
  <c r="I2316" i="4"/>
  <c r="J2316" i="4"/>
  <c r="K2316" i="4"/>
  <c r="L2316" i="4"/>
  <c r="E2316" i="4"/>
  <c r="E2273" i="4"/>
  <c r="I2279" i="4" s="1" a="1"/>
  <c r="I2279" i="4" s="1"/>
  <c r="E2237" i="4"/>
  <c r="E2201" i="4"/>
  <c r="E2165" i="4"/>
  <c r="E2129" i="4"/>
  <c r="E2093" i="4"/>
  <c r="I2099" i="4" s="1" a="1"/>
  <c r="I2099" i="4" s="1"/>
  <c r="E2057" i="4"/>
  <c r="D1480" i="4"/>
  <c r="E2021" i="4"/>
  <c r="E1985" i="4"/>
  <c r="E1949" i="4"/>
  <c r="E1913" i="4"/>
  <c r="E1877" i="4"/>
  <c r="E1841" i="4"/>
  <c r="E1805" i="4"/>
  <c r="E1769" i="4"/>
  <c r="E1733" i="4"/>
  <c r="E1697" i="4"/>
  <c r="I1703" i="4" s="1" a="1"/>
  <c r="I1703" i="4" s="1"/>
  <c r="E1661" i="4"/>
  <c r="E1625" i="4"/>
  <c r="I1631" i="4" s="1" a="1"/>
  <c r="I1631" i="4" s="1"/>
  <c r="E1589" i="4"/>
  <c r="E1553" i="4"/>
  <c r="E1517" i="4"/>
  <c r="E1481" i="4"/>
  <c r="E1445" i="4"/>
  <c r="E1409" i="4"/>
  <c r="E1373" i="4"/>
  <c r="I1379" i="4" s="1" a="1"/>
  <c r="I1379" i="4" s="1"/>
  <c r="E1337" i="4"/>
  <c r="E1301" i="4"/>
  <c r="E1265" i="4"/>
  <c r="E1229" i="4"/>
  <c r="E1193" i="4"/>
  <c r="E1157" i="4"/>
  <c r="E1121" i="4"/>
  <c r="E1085" i="4"/>
  <c r="I1091" i="4" s="1" a="1"/>
  <c r="I1091" i="4" s="1"/>
  <c r="E1049" i="4"/>
  <c r="E1013" i="4"/>
  <c r="I1019" i="4" s="1" a="1"/>
  <c r="I1019" i="4" s="1"/>
  <c r="E977" i="4"/>
  <c r="E941" i="4"/>
  <c r="E905" i="4"/>
  <c r="E869" i="4"/>
  <c r="E833" i="4"/>
  <c r="I839" i="4" s="1" a="1"/>
  <c r="I839" i="4" s="1"/>
  <c r="E797" i="4"/>
  <c r="E761" i="4"/>
  <c r="E725" i="4"/>
  <c r="E689" i="4"/>
  <c r="E653" i="4"/>
  <c r="E617" i="4"/>
  <c r="E581" i="4"/>
  <c r="E545" i="4"/>
  <c r="E509" i="4"/>
  <c r="E473" i="4"/>
  <c r="E437" i="4"/>
  <c r="E401" i="4"/>
  <c r="E365" i="4"/>
  <c r="E329" i="4"/>
  <c r="E293" i="4"/>
  <c r="E257" i="4"/>
  <c r="E221" i="4"/>
  <c r="E185" i="4"/>
  <c r="E149" i="4"/>
  <c r="E113" i="4"/>
  <c r="E77" i="4"/>
  <c r="E41" i="4"/>
  <c r="E5" i="4"/>
  <c r="I11" i="4" s="1" a="1"/>
  <c r="I11" i="4" s="1"/>
  <c r="I3" i="4"/>
  <c r="I7" i="4" s="1"/>
  <c r="J39" i="4" s="1"/>
  <c r="J43" i="4" s="1"/>
  <c r="K75" i="4" s="1"/>
  <c r="K79" i="4" s="1"/>
  <c r="L111" i="4" s="1"/>
  <c r="L115" i="4" s="1"/>
  <c r="C119" i="4" s="1"/>
  <c r="L3" i="4"/>
  <c r="L2312" i="4" s="1"/>
  <c r="K3" i="4"/>
  <c r="K7" i="4" s="1"/>
  <c r="L39" i="4" s="1"/>
  <c r="L43" i="4" s="1"/>
  <c r="C47" i="4" s="1"/>
  <c r="J3" i="4"/>
  <c r="J7" i="4" s="1"/>
  <c r="K39" i="4" s="1"/>
  <c r="K43" i="4" s="1"/>
  <c r="L75" i="4" s="1"/>
  <c r="L79" i="4" s="1"/>
  <c r="C83" i="4" s="1"/>
  <c r="H3" i="4"/>
  <c r="H7" i="4" s="1"/>
  <c r="G3" i="4"/>
  <c r="G7" i="4" s="1"/>
  <c r="H39" i="4" s="1"/>
  <c r="H43" i="4" s="1"/>
  <c r="F3" i="4"/>
  <c r="F7" i="4" s="1"/>
  <c r="G39" i="4" s="1"/>
  <c r="G43" i="4" s="1"/>
  <c r="H75" i="4" s="1"/>
  <c r="H79" i="4" s="1"/>
  <c r="E3" i="4"/>
  <c r="E7" i="4" s="1"/>
  <c r="F39" i="4" s="1"/>
  <c r="F43" i="4" s="1"/>
  <c r="G75" i="4" s="1"/>
  <c r="G79" i="4" s="1"/>
  <c r="H111" i="4" s="1"/>
  <c r="H115" i="4" s="1"/>
  <c r="I1380" i="4" a="1"/>
  <c r="I2100" i="4" a="1"/>
  <c r="L2319" i="4" a="1"/>
  <c r="I2280" i="4" a="1"/>
  <c r="C120" i="4" a="1"/>
  <c r="E11" i="4" a="1"/>
  <c r="I1632" i="4" a="1"/>
  <c r="C84" i="4" a="1"/>
  <c r="C136" i="4" a="1"/>
  <c r="C20" i="4" a="1"/>
  <c r="I1020" i="4" a="1"/>
  <c r="I840" i="4" a="1"/>
  <c r="C100" i="4" a="1"/>
  <c r="I1704" i="4" a="1"/>
  <c r="C48" i="4" a="1"/>
  <c r="E20" i="4" a="1"/>
  <c r="C64" i="4" a="1"/>
  <c r="I12" i="4" a="1"/>
  <c r="G11" i="4" a="1"/>
  <c r="I1092" i="4" a="1"/>
  <c r="C28" i="4" a="1"/>
  <c r="Q19" i="6" l="1"/>
  <c r="Q20" i="6" s="1"/>
  <c r="I19" i="6"/>
  <c r="I20" i="6" s="1"/>
  <c r="R19" i="6"/>
  <c r="R20" i="6" s="1"/>
  <c r="J19" i="6"/>
  <c r="J20" i="6" s="1"/>
  <c r="I16" i="6"/>
  <c r="I17" i="6" s="1"/>
  <c r="Y16" i="6"/>
  <c r="Y17" i="6" s="1"/>
  <c r="AG16" i="6"/>
  <c r="AG17" i="6" s="1"/>
  <c r="X16" i="6"/>
  <c r="X17" i="6" s="1"/>
  <c r="AI19" i="6"/>
  <c r="AI20" i="6" s="1"/>
  <c r="AB19" i="6"/>
  <c r="AB20" i="6" s="1"/>
  <c r="AA19" i="6"/>
  <c r="AA20" i="6" s="1"/>
  <c r="Z19" i="6"/>
  <c r="Z20" i="6" s="1"/>
  <c r="Y19" i="6"/>
  <c r="Y20" i="6" s="1"/>
  <c r="AF19" i="6"/>
  <c r="AF20" i="6" s="1"/>
  <c r="AE19" i="6"/>
  <c r="AE20" i="6" s="1"/>
  <c r="W19" i="6"/>
  <c r="W20" i="6" s="1"/>
  <c r="AH19" i="6"/>
  <c r="AH20" i="6" s="1"/>
  <c r="X19" i="6"/>
  <c r="X20" i="6" s="1"/>
  <c r="AD19" i="6"/>
  <c r="AD20" i="6" s="1"/>
  <c r="V19" i="6"/>
  <c r="V20" i="6" s="1"/>
  <c r="AG19" i="6"/>
  <c r="AG20" i="6" s="1"/>
  <c r="Q16" i="6"/>
  <c r="Q17" i="6" s="1"/>
  <c r="AC19" i="6"/>
  <c r="AC20" i="6" s="1"/>
  <c r="U19" i="6"/>
  <c r="U20" i="6" s="1"/>
  <c r="T19" i="6"/>
  <c r="T20" i="6" s="1"/>
  <c r="H16" i="6"/>
  <c r="H17" i="6" s="1"/>
  <c r="S16" i="6"/>
  <c r="S17" i="6" s="1"/>
  <c r="L16" i="6"/>
  <c r="L17" i="6" s="1"/>
  <c r="D16" i="6"/>
  <c r="D17" i="6" s="1"/>
  <c r="K16" i="6"/>
  <c r="K17" i="6" s="1"/>
  <c r="R16" i="6"/>
  <c r="R17" i="6" s="1"/>
  <c r="J16" i="6"/>
  <c r="J17" i="6" s="1"/>
  <c r="O16" i="6"/>
  <c r="O17" i="6" s="1"/>
  <c r="N16" i="6"/>
  <c r="N17" i="6" s="1"/>
  <c r="F16" i="6"/>
  <c r="F17" i="6" s="1"/>
  <c r="P16" i="6"/>
  <c r="P17" i="6" s="1"/>
  <c r="G16" i="6"/>
  <c r="G17" i="6" s="1"/>
  <c r="M16" i="6"/>
  <c r="M17" i="6" s="1"/>
  <c r="E16" i="6"/>
  <c r="E17" i="6" s="1"/>
  <c r="L6" i="6"/>
  <c r="T6" i="6"/>
  <c r="K6" i="6"/>
  <c r="AI6" i="6"/>
  <c r="AH6" i="6"/>
  <c r="AF6" i="6"/>
  <c r="H6" i="6"/>
  <c r="AE6" i="6"/>
  <c r="W6" i="6"/>
  <c r="O6" i="6"/>
  <c r="G6" i="6"/>
  <c r="AB6" i="6"/>
  <c r="AA6" i="6"/>
  <c r="Z6" i="6"/>
  <c r="AD6" i="6"/>
  <c r="V6" i="6"/>
  <c r="F6" i="6"/>
  <c r="S6" i="6"/>
  <c r="P6" i="6"/>
  <c r="N6" i="6"/>
  <c r="AC6" i="6"/>
  <c r="U6" i="6"/>
  <c r="M6" i="6"/>
  <c r="E6" i="6"/>
  <c r="D6" i="6"/>
  <c r="J5" i="6"/>
  <c r="AG5" i="6"/>
  <c r="Y5" i="6"/>
  <c r="I5" i="6"/>
  <c r="R5" i="6"/>
  <c r="Q5" i="6"/>
  <c r="X5" i="6"/>
  <c r="E2312" i="4"/>
  <c r="L2319" i="4"/>
  <c r="I659" i="4" a="1"/>
  <c r="I659" i="4" s="1"/>
  <c r="I2135" i="4" a="1"/>
  <c r="I2135" i="4" s="1"/>
  <c r="K2312" i="4"/>
  <c r="J2312" i="4"/>
  <c r="I2312" i="4"/>
  <c r="H2312" i="4"/>
  <c r="G2312" i="4"/>
  <c r="F2312" i="4"/>
  <c r="I119" i="4" a="1"/>
  <c r="I119" i="4" s="1"/>
  <c r="I731" i="4" a="1"/>
  <c r="I731" i="4" s="1"/>
  <c r="I1235" i="4" a="1"/>
  <c r="I1235" i="4" s="1"/>
  <c r="I695" i="4" a="1"/>
  <c r="I695" i="4" s="1"/>
  <c r="I1307" i="4" a="1"/>
  <c r="I1307" i="4" s="1"/>
  <c r="I1487" i="4" a="1"/>
  <c r="I1487" i="4" s="1"/>
  <c r="I947" i="4" a="1"/>
  <c r="I947" i="4" s="1"/>
  <c r="I1343" i="4" a="1"/>
  <c r="I1343" i="4" s="1"/>
  <c r="I1199" i="4" a="1"/>
  <c r="I1199" i="4" s="1"/>
  <c r="I2243" i="4" a="1"/>
  <c r="I2243" i="4" s="1"/>
  <c r="I2171" i="4" a="1"/>
  <c r="I2171" i="4" s="1"/>
  <c r="I2280" i="4"/>
  <c r="I2207" i="4" a="1"/>
  <c r="I2207" i="4" s="1"/>
  <c r="I2100" i="4"/>
  <c r="I2063" i="4" a="1"/>
  <c r="I2063" i="4" s="1"/>
  <c r="I1991" i="4" a="1"/>
  <c r="I1991" i="4" s="1"/>
  <c r="I1955" i="4" a="1"/>
  <c r="I1955" i="4" s="1"/>
  <c r="I1811" i="4" a="1"/>
  <c r="I1811" i="4" s="1"/>
  <c r="I1775" i="4" a="1"/>
  <c r="I1775" i="4" s="1"/>
  <c r="I1595" i="4" a="1"/>
  <c r="I1595" i="4" s="1"/>
  <c r="I1559" i="4" a="1"/>
  <c r="I1559" i="4" s="1"/>
  <c r="I1055" i="4" a="1"/>
  <c r="I1055" i="4" s="1"/>
  <c r="I983" i="4" a="1"/>
  <c r="I983" i="4" s="1"/>
  <c r="I875" i="4" a="1"/>
  <c r="I875" i="4" s="1"/>
  <c r="I767" i="4" a="1"/>
  <c r="I767" i="4" s="1"/>
  <c r="I371" i="4" a="1"/>
  <c r="I371" i="4" s="1"/>
  <c r="I227" i="4" a="1"/>
  <c r="I227" i="4" s="1"/>
  <c r="I2027" i="4" a="1"/>
  <c r="I2027" i="4" s="1"/>
  <c r="I1919" i="4" a="1"/>
  <c r="I1919" i="4" s="1"/>
  <c r="I1883" i="4" a="1"/>
  <c r="I1883" i="4" s="1"/>
  <c r="I1847" i="4" a="1"/>
  <c r="I1847" i="4" s="1"/>
  <c r="I1704" i="4"/>
  <c r="I1739" i="4" a="1"/>
  <c r="I1739" i="4" s="1"/>
  <c r="I1632" i="4"/>
  <c r="I1667" i="4" a="1"/>
  <c r="I1667" i="4" s="1"/>
  <c r="I1523" i="4" a="1"/>
  <c r="I1523" i="4" s="1"/>
  <c r="I1451" i="4" a="1"/>
  <c r="I1451" i="4" s="1"/>
  <c r="I1415" i="4" a="1"/>
  <c r="I1415" i="4" s="1"/>
  <c r="I1380" i="4"/>
  <c r="I1271" i="4" a="1"/>
  <c r="I1271" i="4" s="1"/>
  <c r="I1163" i="4" a="1"/>
  <c r="I1163" i="4" s="1"/>
  <c r="I1127" i="4" a="1"/>
  <c r="I1127" i="4" s="1"/>
  <c r="I1092" i="4"/>
  <c r="I1020" i="4"/>
  <c r="I911" i="4" a="1"/>
  <c r="I911" i="4" s="1"/>
  <c r="I840" i="4"/>
  <c r="I803" i="4" a="1"/>
  <c r="I803" i="4" s="1"/>
  <c r="I623" i="4" a="1"/>
  <c r="I623" i="4" s="1"/>
  <c r="I587" i="4" a="1"/>
  <c r="I587" i="4" s="1"/>
  <c r="I551" i="4" a="1"/>
  <c r="I551" i="4" s="1"/>
  <c r="I515" i="4" a="1"/>
  <c r="I515" i="4" s="1"/>
  <c r="I479" i="4" a="1"/>
  <c r="I479" i="4" s="1"/>
  <c r="I443" i="4" a="1"/>
  <c r="I443" i="4" s="1"/>
  <c r="I407" i="4" a="1"/>
  <c r="I407" i="4" s="1"/>
  <c r="I335" i="4" a="1"/>
  <c r="I335" i="4" s="1"/>
  <c r="I299" i="4" a="1"/>
  <c r="I299" i="4" s="1"/>
  <c r="I263" i="4" a="1"/>
  <c r="I263" i="4" s="1"/>
  <c r="I191" i="4" a="1"/>
  <c r="I191" i="4" s="1"/>
  <c r="C120" i="4"/>
  <c r="C136" i="4"/>
  <c r="I155" i="4" a="1"/>
  <c r="I155" i="4" s="1"/>
  <c r="C84" i="4"/>
  <c r="C100" i="4"/>
  <c r="I83" i="4" a="1"/>
  <c r="I83" i="4" s="1"/>
  <c r="I47" i="4" a="1"/>
  <c r="I47" i="4" s="1"/>
  <c r="C64" i="4"/>
  <c r="C48" i="4"/>
  <c r="E20" i="4"/>
  <c r="C20" i="4"/>
  <c r="G11" i="4"/>
  <c r="E11" i="4"/>
  <c r="I12" i="4"/>
  <c r="C28" i="4"/>
  <c r="L7" i="4"/>
  <c r="C11" i="4" s="1"/>
  <c r="I1776" i="4" a="1"/>
  <c r="I228" i="4" a="1"/>
  <c r="I1740" i="4" a="1"/>
  <c r="I1596" i="4" a="1"/>
  <c r="I552" i="4" a="1"/>
  <c r="E2319" i="4" a="1"/>
  <c r="J2319" i="4" a="1"/>
  <c r="I264" i="4" a="1"/>
  <c r="I1272" i="4" a="1"/>
  <c r="E12" i="4" a="1"/>
  <c r="I1416" i="4" a="1"/>
  <c r="I1956" i="4" a="1"/>
  <c r="I84" i="4" a="1"/>
  <c r="I1488" i="4" a="1"/>
  <c r="I1848" i="4" a="1"/>
  <c r="C12" i="4" a="1"/>
  <c r="I120" i="4" a="1"/>
  <c r="I660" i="4" a="1"/>
  <c r="I336" i="4" a="1"/>
  <c r="I2172" i="4" a="1"/>
  <c r="I408" i="4" a="1"/>
  <c r="I984" i="4" a="1"/>
  <c r="I1992" i="4" a="1"/>
  <c r="I300" i="4" a="1"/>
  <c r="I2244" i="4" a="1"/>
  <c r="E21" i="4" a="1"/>
  <c r="I1056" i="4" a="1"/>
  <c r="I1668" i="4" a="1"/>
  <c r="I876" i="4" a="1"/>
  <c r="I1812" i="4" a="1"/>
  <c r="I444" i="4" a="1"/>
  <c r="I804" i="4" a="1"/>
  <c r="I2064" i="4" a="1"/>
  <c r="I1524" i="4" a="1"/>
  <c r="I1128" i="4" a="1"/>
  <c r="I516" i="4" a="1"/>
  <c r="I1920" i="4" a="1"/>
  <c r="G2319" i="4" a="1"/>
  <c r="I1308" i="4" a="1"/>
  <c r="I192" i="4" a="1"/>
  <c r="K2319" i="4" a="1"/>
  <c r="I48" i="4" a="1"/>
  <c r="I2028" i="4" a="1"/>
  <c r="C21" i="4" a="1"/>
  <c r="I948" i="4" a="1"/>
  <c r="I732" i="4" a="1"/>
  <c r="I480" i="4" a="1"/>
  <c r="I1884" i="4" a="1"/>
  <c r="I372" i="4" a="1"/>
  <c r="I1200" i="4" a="1"/>
  <c r="I1164" i="4" a="1"/>
  <c r="I912" i="4" a="1"/>
  <c r="I1344" i="4" a="1"/>
  <c r="I1452" i="4" a="1"/>
  <c r="I768" i="4" a="1"/>
  <c r="F2319" i="4" a="1"/>
  <c r="I2208" i="4" a="1"/>
  <c r="I1236" i="4" a="1"/>
  <c r="I2136" i="4" a="1"/>
  <c r="H2319" i="4" a="1"/>
  <c r="I2319" i="4" a="1"/>
  <c r="I1560" i="4" a="1"/>
  <c r="I156" i="4" a="1"/>
  <c r="I696" i="4" a="1"/>
  <c r="I624" i="4" a="1"/>
  <c r="G12" i="4" a="1"/>
  <c r="I588" i="4" a="1"/>
  <c r="E7" i="6" l="1"/>
  <c r="E19" i="6"/>
  <c r="E20" i="6" s="1"/>
  <c r="M7" i="6"/>
  <c r="M19" i="6"/>
  <c r="M20" i="6" s="1"/>
  <c r="N7" i="6"/>
  <c r="N19" i="6"/>
  <c r="N20" i="6" s="1"/>
  <c r="L7" i="6"/>
  <c r="L19" i="6"/>
  <c r="L20" i="6" s="1"/>
  <c r="P7" i="6"/>
  <c r="P19" i="6"/>
  <c r="P20" i="6" s="1"/>
  <c r="G7" i="6"/>
  <c r="G19" i="6"/>
  <c r="G20" i="6" s="1"/>
  <c r="K7" i="6"/>
  <c r="K19" i="6"/>
  <c r="K20" i="6" s="1"/>
  <c r="F7" i="6"/>
  <c r="F19" i="6"/>
  <c r="F20" i="6" s="1"/>
  <c r="H7" i="6"/>
  <c r="H19" i="6"/>
  <c r="H20" i="6" s="1"/>
  <c r="S7" i="6"/>
  <c r="S19" i="6"/>
  <c r="S20" i="6" s="1"/>
  <c r="O7" i="6"/>
  <c r="O19" i="6"/>
  <c r="O20" i="6" s="1"/>
  <c r="D7" i="6"/>
  <c r="D19" i="6"/>
  <c r="Z7" i="6"/>
  <c r="Z16" i="6"/>
  <c r="Z17" i="6" s="1"/>
  <c r="AC7" i="6"/>
  <c r="AC16" i="6"/>
  <c r="AC17" i="6" s="1"/>
  <c r="AH7" i="6"/>
  <c r="AH16" i="6"/>
  <c r="AH17" i="6" s="1"/>
  <c r="AI7" i="6"/>
  <c r="AI16" i="6"/>
  <c r="AI17" i="6" s="1"/>
  <c r="U7" i="6"/>
  <c r="U16" i="6"/>
  <c r="U17" i="6" s="1"/>
  <c r="AF7" i="6"/>
  <c r="AF16" i="6"/>
  <c r="AF17" i="6" s="1"/>
  <c r="AA7" i="6"/>
  <c r="AA16" i="6"/>
  <c r="AA17" i="6" s="1"/>
  <c r="AB7" i="6"/>
  <c r="AB16" i="6"/>
  <c r="AB17" i="6" s="1"/>
  <c r="W7" i="6"/>
  <c r="W16" i="6"/>
  <c r="W17" i="6" s="1"/>
  <c r="V7" i="6"/>
  <c r="V16" i="6"/>
  <c r="V17" i="6" s="1"/>
  <c r="AE7" i="6"/>
  <c r="AE16" i="6"/>
  <c r="AE17" i="6" s="1"/>
  <c r="AD7" i="6"/>
  <c r="AD16" i="6"/>
  <c r="T7" i="6"/>
  <c r="T16" i="6"/>
  <c r="T17" i="6" s="1"/>
  <c r="AJ5" i="6"/>
  <c r="F2319" i="4"/>
  <c r="G2319" i="4"/>
  <c r="H2319" i="4"/>
  <c r="I2319" i="4"/>
  <c r="J2319" i="4"/>
  <c r="K2319" i="4"/>
  <c r="E2319" i="4"/>
  <c r="C9" i="5" s="1"/>
  <c r="I2136" i="4"/>
  <c r="I660" i="4"/>
  <c r="I1308" i="4"/>
  <c r="I696" i="4"/>
  <c r="I948" i="4"/>
  <c r="I1488" i="4"/>
  <c r="I1236" i="4"/>
  <c r="I1200" i="4"/>
  <c r="I732" i="4"/>
  <c r="I1344" i="4"/>
  <c r="I120" i="4"/>
  <c r="I2244" i="4"/>
  <c r="I2172" i="4"/>
  <c r="I2208" i="4"/>
  <c r="I2064" i="4"/>
  <c r="I1992" i="4"/>
  <c r="I1956" i="4"/>
  <c r="I1812" i="4"/>
  <c r="I1776" i="4"/>
  <c r="I1596" i="4"/>
  <c r="I1560" i="4"/>
  <c r="I1056" i="4"/>
  <c r="I984" i="4"/>
  <c r="I876" i="4"/>
  <c r="I768" i="4"/>
  <c r="I372" i="4"/>
  <c r="I228" i="4"/>
  <c r="I2028" i="4"/>
  <c r="I1920" i="4"/>
  <c r="I1884" i="4"/>
  <c r="I1848" i="4"/>
  <c r="I1740" i="4"/>
  <c r="I1668" i="4"/>
  <c r="I1524" i="4"/>
  <c r="I1416" i="4"/>
  <c r="I1452" i="4"/>
  <c r="I1272" i="4"/>
  <c r="I1128" i="4"/>
  <c r="I1164" i="4"/>
  <c r="I912" i="4"/>
  <c r="I804" i="4"/>
  <c r="I624" i="4"/>
  <c r="I552" i="4"/>
  <c r="I588" i="4"/>
  <c r="I516" i="4"/>
  <c r="I480" i="4"/>
  <c r="I444" i="4"/>
  <c r="I408" i="4"/>
  <c r="I336" i="4"/>
  <c r="I300" i="4"/>
  <c r="I264" i="4"/>
  <c r="I192" i="4"/>
  <c r="I156" i="4"/>
  <c r="I84" i="4"/>
  <c r="I48" i="4"/>
  <c r="C12" i="4"/>
  <c r="E12" i="4"/>
  <c r="G12" i="4"/>
  <c r="C21" i="4"/>
  <c r="E21" i="4"/>
  <c r="D20" i="6" l="1"/>
  <c r="AJ20" i="6" s="1"/>
  <c r="AD17" i="6"/>
  <c r="AJ17" i="6" s="1"/>
  <c r="AJ7" i="6"/>
  <c r="B23" i="4"/>
  <c r="E33" i="4" s="1"/>
  <c r="B39" i="2"/>
  <c r="B37" i="2"/>
  <c r="B14" i="2"/>
  <c r="T37" i="3"/>
  <c r="AJ37" i="3" s="1"/>
  <c r="AZ37" i="3" s="1"/>
  <c r="U37" i="3"/>
  <c r="AK37" i="3" s="1"/>
  <c r="BA37" i="3" s="1"/>
  <c r="V37" i="3"/>
  <c r="AL37" i="3" s="1"/>
  <c r="BB37" i="3" s="1"/>
  <c r="W37" i="3"/>
  <c r="AM37" i="3" s="1"/>
  <c r="BC37" i="3" s="1"/>
  <c r="X37" i="3"/>
  <c r="AN37" i="3" s="1"/>
  <c r="BD37" i="3" s="1"/>
  <c r="Y37" i="3"/>
  <c r="AO37" i="3" s="1"/>
  <c r="BE37" i="3" s="1"/>
  <c r="Z37" i="3"/>
  <c r="AP37" i="3" s="1"/>
  <c r="BF37" i="3" s="1"/>
  <c r="AA37" i="3"/>
  <c r="AQ37" i="3" s="1"/>
  <c r="BG37" i="3" s="1"/>
  <c r="AB37" i="3"/>
  <c r="AR37" i="3" s="1"/>
  <c r="BH37" i="3" s="1"/>
  <c r="AC37" i="3"/>
  <c r="AS37" i="3" s="1"/>
  <c r="BI37" i="3" s="1"/>
  <c r="AD37" i="3"/>
  <c r="AT37" i="3" s="1"/>
  <c r="BJ37" i="3" s="1"/>
  <c r="AE37" i="3"/>
  <c r="AU37" i="3" s="1"/>
  <c r="BK37" i="3" s="1"/>
  <c r="AF37" i="3"/>
  <c r="AV37" i="3" s="1"/>
  <c r="BL37" i="3" s="1"/>
  <c r="AG37" i="3"/>
  <c r="AW37" i="3" s="1"/>
  <c r="BM37" i="3" s="1"/>
  <c r="AH37" i="3"/>
  <c r="AX37" i="3" s="1"/>
  <c r="BN37" i="3" s="1"/>
  <c r="S37" i="3"/>
  <c r="AI37" i="3" s="1"/>
  <c r="AY37" i="3" s="1"/>
  <c r="L1" i="3"/>
  <c r="E7" i="1"/>
  <c r="C7" i="1"/>
  <c r="F6" i="1"/>
  <c r="E6" i="1"/>
  <c r="D7" i="1" s="1"/>
  <c r="D6" i="1"/>
  <c r="B125" i="2"/>
  <c r="B124" i="2"/>
  <c r="B123" i="2"/>
  <c r="B122" i="2"/>
  <c r="B117" i="2"/>
  <c r="B116" i="2"/>
  <c r="B115" i="2"/>
  <c r="B114" i="2"/>
  <c r="B105" i="2"/>
  <c r="B104" i="2"/>
  <c r="B103" i="2"/>
  <c r="B102" i="2"/>
  <c r="B89" i="2"/>
  <c r="B88" i="2"/>
  <c r="B87" i="2"/>
  <c r="B86" i="2"/>
  <c r="B6" i="2"/>
  <c r="B5" i="2"/>
  <c r="B4" i="2"/>
  <c r="B3" i="2"/>
  <c r="B55" i="2" s="1"/>
  <c r="G6" i="1"/>
  <c r="B24" i="4" a="1"/>
  <c r="AJ22" i="6" l="1"/>
  <c r="AL22" i="6"/>
  <c r="B24" i="4"/>
  <c r="S4" i="3"/>
  <c r="J4" i="3" s="1"/>
  <c r="O10" i="3"/>
  <c r="F10" i="3" s="1"/>
  <c r="S5" i="3"/>
  <c r="J5" i="3" s="1"/>
  <c r="S3" i="3"/>
  <c r="J3" i="3" s="1"/>
  <c r="N10" i="3"/>
  <c r="E10" i="3" s="1"/>
  <c r="S9" i="3"/>
  <c r="J9" i="3" s="1"/>
  <c r="S6" i="3"/>
  <c r="J6" i="3" s="1"/>
  <c r="M10" i="3"/>
  <c r="D10" i="3" s="1"/>
  <c r="S8" i="3"/>
  <c r="J8" i="3" s="1"/>
  <c r="C10" i="3"/>
  <c r="S7" i="3"/>
  <c r="J7" i="3" s="1"/>
  <c r="M1" i="3"/>
  <c r="N1" i="3" s="1"/>
  <c r="P9" i="3"/>
  <c r="N8" i="3"/>
  <c r="E8" i="3" s="1"/>
  <c r="R6" i="3"/>
  <c r="I6" i="3" s="1"/>
  <c r="P5" i="3"/>
  <c r="N4" i="3"/>
  <c r="E4" i="3" s="1"/>
  <c r="O9" i="3"/>
  <c r="F9" i="3" s="1"/>
  <c r="M8" i="3"/>
  <c r="D8" i="3" s="1"/>
  <c r="Q6" i="3"/>
  <c r="H6" i="3" s="1"/>
  <c r="O5" i="3"/>
  <c r="F5" i="3" s="1"/>
  <c r="M4" i="3"/>
  <c r="D4" i="3" s="1"/>
  <c r="M3" i="3"/>
  <c r="D3" i="3" s="1"/>
  <c r="N9" i="3"/>
  <c r="E9" i="3" s="1"/>
  <c r="R7" i="3"/>
  <c r="I7" i="3" s="1"/>
  <c r="P6" i="3"/>
  <c r="G6" i="3" s="1"/>
  <c r="N5" i="3"/>
  <c r="E5" i="3" s="1"/>
  <c r="R3" i="3"/>
  <c r="I3" i="3" s="1"/>
  <c r="M9" i="3"/>
  <c r="D9" i="3" s="1"/>
  <c r="Q7" i="3"/>
  <c r="H7" i="3" s="1"/>
  <c r="O6" i="3"/>
  <c r="F6" i="3" s="1"/>
  <c r="M5" i="3"/>
  <c r="D5" i="3" s="1"/>
  <c r="Q3" i="3"/>
  <c r="H3" i="3" s="1"/>
  <c r="R8" i="3"/>
  <c r="I8" i="3" s="1"/>
  <c r="P7" i="3"/>
  <c r="N6" i="3"/>
  <c r="E6" i="3" s="1"/>
  <c r="R4" i="3"/>
  <c r="I4" i="3" s="1"/>
  <c r="C8" i="3"/>
  <c r="P3" i="3"/>
  <c r="Q8" i="3"/>
  <c r="H8" i="3" s="1"/>
  <c r="O7" i="3"/>
  <c r="F7" i="3" s="1"/>
  <c r="M6" i="3"/>
  <c r="D6" i="3" s="1"/>
  <c r="Q4" i="3"/>
  <c r="H4" i="3" s="1"/>
  <c r="O3" i="3"/>
  <c r="F3" i="3" s="1"/>
  <c r="R9" i="3"/>
  <c r="I9" i="3" s="1"/>
  <c r="P8" i="3"/>
  <c r="N7" i="3"/>
  <c r="E7" i="3" s="1"/>
  <c r="R5" i="3"/>
  <c r="I5" i="3" s="1"/>
  <c r="P4" i="3"/>
  <c r="N3" i="3"/>
  <c r="E3" i="3" s="1"/>
  <c r="Q9" i="3"/>
  <c r="H9" i="3" s="1"/>
  <c r="O8" i="3"/>
  <c r="F8" i="3" s="1"/>
  <c r="M7" i="3"/>
  <c r="D7" i="3" s="1"/>
  <c r="Q5" i="3"/>
  <c r="H5" i="3" s="1"/>
  <c r="O4" i="3"/>
  <c r="F4" i="3" s="1"/>
  <c r="C6" i="3"/>
  <c r="B32" i="2"/>
  <c r="B127" i="2"/>
  <c r="B119" i="2"/>
  <c r="B107" i="2"/>
  <c r="B91" i="2"/>
  <c r="B8" i="2"/>
  <c r="C8" i="1"/>
  <c r="D8" i="1" s="1"/>
  <c r="G7" i="1"/>
  <c r="C35" i="3" l="1"/>
  <c r="C38" i="3" s="1"/>
  <c r="L35" i="3"/>
  <c r="F35" i="3"/>
  <c r="F38" i="3" s="1"/>
  <c r="W109" i="3" s="1"/>
  <c r="K35" i="3"/>
  <c r="K38" i="3" s="1"/>
  <c r="O35" i="3"/>
  <c r="O38" i="3" s="1"/>
  <c r="S10" i="3"/>
  <c r="J10" i="3" s="1"/>
  <c r="R10" i="3"/>
  <c r="I10" i="3" s="1"/>
  <c r="J35" i="3"/>
  <c r="J38" i="3" s="1"/>
  <c r="C7" i="3"/>
  <c r="G3" i="3"/>
  <c r="D35" i="3"/>
  <c r="G5" i="3"/>
  <c r="H35" i="3"/>
  <c r="H38" i="3" s="1"/>
  <c r="G8" i="3"/>
  <c r="N35" i="3"/>
  <c r="N38" i="3" s="1"/>
  <c r="C9" i="3"/>
  <c r="M35" i="3"/>
  <c r="M38" i="3" s="1"/>
  <c r="W166" i="3" s="1"/>
  <c r="G4" i="3"/>
  <c r="Q35" i="3"/>
  <c r="C4" i="3"/>
  <c r="E35" i="3"/>
  <c r="E38" i="3" s="1"/>
  <c r="C5" i="3"/>
  <c r="G35" i="3"/>
  <c r="G38" i="3" s="1"/>
  <c r="C3" i="3"/>
  <c r="G7" i="3"/>
  <c r="G9" i="3"/>
  <c r="P35" i="3"/>
  <c r="P38" i="3" s="1"/>
  <c r="I35" i="3"/>
  <c r="I38" i="3" s="1"/>
  <c r="B41" i="2"/>
  <c r="I41" i="2" s="1"/>
  <c r="I37" i="2"/>
  <c r="I39" i="2"/>
  <c r="H39" i="2"/>
  <c r="G39" i="2"/>
  <c r="F39" i="2"/>
  <c r="B16" i="2"/>
  <c r="I16" i="2" s="1"/>
  <c r="B18" i="2"/>
  <c r="F7" i="1"/>
  <c r="G8" i="1"/>
  <c r="E8" i="1"/>
  <c r="C9" i="1" s="1"/>
  <c r="D9" i="1" s="1"/>
  <c r="W110" i="3" a="1"/>
  <c r="P134" i="3" a="1"/>
  <c r="P95" i="3" a="1"/>
  <c r="P118" i="3" a="1"/>
  <c r="P126" i="3" a="1"/>
  <c r="P81" i="3" a="1"/>
  <c r="P142" i="3" a="1"/>
  <c r="W167" i="3" a="1"/>
  <c r="P182" i="3" a="1"/>
  <c r="P158" i="3" a="1"/>
  <c r="P109" i="3" a="1"/>
  <c r="P182" i="3" l="1"/>
  <c r="W110" i="3"/>
  <c r="W167" i="3"/>
  <c r="K155" i="4" a="1"/>
  <c r="K155" i="4" s="1"/>
  <c r="W118" i="3"/>
  <c r="K407" i="4" a="1"/>
  <c r="K407" i="4" s="1"/>
  <c r="W174" i="3"/>
  <c r="K83" i="4" a="1"/>
  <c r="K83" i="4" s="1"/>
  <c r="W95" i="3"/>
  <c r="K191" i="4" a="1"/>
  <c r="K191" i="4" s="1"/>
  <c r="W126" i="3"/>
  <c r="K443" i="4" a="1"/>
  <c r="K443" i="4" s="1"/>
  <c r="W182" i="3"/>
  <c r="K227" i="4" a="1"/>
  <c r="K227" i="4" s="1"/>
  <c r="W134" i="3"/>
  <c r="K299" i="4" a="1"/>
  <c r="K299" i="4" s="1"/>
  <c r="W150" i="3"/>
  <c r="K479" i="4" a="1"/>
  <c r="K479" i="4" s="1"/>
  <c r="W190" i="3"/>
  <c r="K263" i="4" a="1"/>
  <c r="K263" i="4" s="1"/>
  <c r="W142" i="3"/>
  <c r="K11" i="4" a="1"/>
  <c r="K11" i="4" s="1"/>
  <c r="W67" i="3"/>
  <c r="P95" i="3"/>
  <c r="K119" i="4" a="1"/>
  <c r="K119" i="4" s="1"/>
  <c r="I81" i="3"/>
  <c r="K371" i="4" a="1"/>
  <c r="K371" i="4" s="1"/>
  <c r="P118" i="3"/>
  <c r="P81" i="3"/>
  <c r="P109" i="3"/>
  <c r="I95" i="3"/>
  <c r="I109" i="3"/>
  <c r="I118" i="3"/>
  <c r="I57" i="3"/>
  <c r="L38" i="3"/>
  <c r="W158" i="3" s="1"/>
  <c r="C57" i="3"/>
  <c r="C60" i="3" s="1"/>
  <c r="Q38" i="3"/>
  <c r="O57" i="3"/>
  <c r="P60" i="3" s="1"/>
  <c r="D38" i="3"/>
  <c r="W81" i="3" s="1"/>
  <c r="P158" i="3"/>
  <c r="I73" i="3"/>
  <c r="P142" i="3"/>
  <c r="P134" i="3"/>
  <c r="P126" i="3"/>
  <c r="O101" i="3"/>
  <c r="I101" i="3"/>
  <c r="O87" i="3"/>
  <c r="I87" i="3"/>
  <c r="O73" i="3"/>
  <c r="R35" i="3"/>
  <c r="R38" i="3" s="1"/>
  <c r="W206" i="3" s="1"/>
  <c r="I43" i="2"/>
  <c r="G37" i="2"/>
  <c r="H37" i="2"/>
  <c r="F37" i="2"/>
  <c r="G41" i="2"/>
  <c r="H41" i="2"/>
  <c r="F41" i="2"/>
  <c r="F14" i="2"/>
  <c r="G14" i="2"/>
  <c r="I14" i="2"/>
  <c r="H14" i="2"/>
  <c r="I18" i="2"/>
  <c r="H18" i="2"/>
  <c r="G18" i="2"/>
  <c r="F18" i="2"/>
  <c r="F16" i="2"/>
  <c r="H16" i="2"/>
  <c r="G16" i="2"/>
  <c r="F8" i="1"/>
  <c r="G9" i="1"/>
  <c r="E9" i="1"/>
  <c r="W127" i="3" a="1"/>
  <c r="W207" i="3" a="1"/>
  <c r="K84" i="4" a="1"/>
  <c r="I119" i="3" a="1"/>
  <c r="P67" i="3" a="1"/>
  <c r="W183" i="3" a="1"/>
  <c r="W159" i="3" a="1"/>
  <c r="I96" i="3" a="1"/>
  <c r="P135" i="3" a="1"/>
  <c r="W119" i="3" a="1"/>
  <c r="O58" i="3" a="1"/>
  <c r="P159" i="3" a="1"/>
  <c r="W143" i="3" a="1"/>
  <c r="K408" i="4" a="1"/>
  <c r="C81" i="3" a="1"/>
  <c r="I82" i="3" a="1"/>
  <c r="K192" i="4" a="1"/>
  <c r="K444" i="4" a="1"/>
  <c r="K480" i="4" a="1"/>
  <c r="P198" i="3" a="1"/>
  <c r="W96" i="3" a="1"/>
  <c r="K300" i="4" a="1"/>
  <c r="K228" i="4" a="1"/>
  <c r="I110" i="3" a="1"/>
  <c r="P82" i="3" a="1"/>
  <c r="K12" i="4" a="1"/>
  <c r="K120" i="4" a="1"/>
  <c r="P143" i="3" a="1"/>
  <c r="K264" i="4" a="1"/>
  <c r="P183" i="3" a="1"/>
  <c r="P190" i="3" a="1"/>
  <c r="W151" i="3" a="1"/>
  <c r="P150" i="3" a="1"/>
  <c r="C67" i="3" a="1"/>
  <c r="P174" i="3" a="1"/>
  <c r="P166" i="3" a="1"/>
  <c r="P96" i="3" a="1"/>
  <c r="W135" i="3" a="1"/>
  <c r="K156" i="4" a="1"/>
  <c r="W68" i="3" a="1"/>
  <c r="P119" i="3" a="1"/>
  <c r="K372" i="4" a="1"/>
  <c r="W175" i="3" a="1"/>
  <c r="W191" i="3" a="1"/>
  <c r="P127" i="3" a="1"/>
  <c r="W82" i="3" a="1"/>
  <c r="K300" i="4" l="1"/>
  <c r="K84" i="4"/>
  <c r="C67" i="3"/>
  <c r="W68" i="3"/>
  <c r="W135" i="3"/>
  <c r="W175" i="3"/>
  <c r="K12" i="4"/>
  <c r="B14" i="4" s="1"/>
  <c r="W207" i="3"/>
  <c r="K264" i="4"/>
  <c r="K444" i="4"/>
  <c r="K156" i="4"/>
  <c r="K228" i="4"/>
  <c r="W143" i="3"/>
  <c r="W191" i="3"/>
  <c r="W127" i="3"/>
  <c r="K408" i="4"/>
  <c r="W159" i="3"/>
  <c r="W183" i="3"/>
  <c r="W119" i="3"/>
  <c r="K480" i="4"/>
  <c r="K192" i="4"/>
  <c r="W82" i="3"/>
  <c r="W151" i="3"/>
  <c r="W96" i="3"/>
  <c r="W198" i="3"/>
  <c r="K372" i="4"/>
  <c r="K120" i="4"/>
  <c r="C81" i="3"/>
  <c r="P67" i="3"/>
  <c r="K515" i="4" a="1"/>
  <c r="K515" i="4" s="1"/>
  <c r="I67" i="3"/>
  <c r="K335" i="4" a="1"/>
  <c r="K335" i="4" s="1"/>
  <c r="P64" i="3"/>
  <c r="K551" i="4" a="1"/>
  <c r="K551" i="4" s="1"/>
  <c r="K47" i="4" a="1"/>
  <c r="K47" i="4" s="1"/>
  <c r="I82" i="3"/>
  <c r="I96" i="3"/>
  <c r="P96" i="3"/>
  <c r="P82" i="3"/>
  <c r="I110" i="3"/>
  <c r="P62" i="3"/>
  <c r="I119" i="3"/>
  <c r="P159" i="3"/>
  <c r="P150" i="3"/>
  <c r="P166" i="3"/>
  <c r="P190" i="3"/>
  <c r="P174" i="3"/>
  <c r="P198" i="3"/>
  <c r="P183" i="3"/>
  <c r="I126" i="3"/>
  <c r="P143" i="3"/>
  <c r="P135" i="3"/>
  <c r="C73" i="3"/>
  <c r="C79" i="3" s="1"/>
  <c r="I134" i="3"/>
  <c r="P127" i="3"/>
  <c r="P119" i="3"/>
  <c r="O58" i="3"/>
  <c r="P107" i="3"/>
  <c r="P105" i="3"/>
  <c r="P103" i="3"/>
  <c r="P93" i="3"/>
  <c r="P91" i="3"/>
  <c r="P89" i="3"/>
  <c r="P75" i="3"/>
  <c r="P79" i="3"/>
  <c r="P77" i="3"/>
  <c r="C64" i="3"/>
  <c r="C62" i="3"/>
  <c r="H43" i="2"/>
  <c r="F43" i="2"/>
  <c r="G43" i="2"/>
  <c r="I20" i="2"/>
  <c r="H20" i="2"/>
  <c r="G20" i="2"/>
  <c r="F20" i="2"/>
  <c r="F9" i="1"/>
  <c r="C11" i="1" s="1"/>
  <c r="C13" i="1" s="1"/>
  <c r="H6" i="1"/>
  <c r="P110" i="3" a="1"/>
  <c r="B15" i="4" a="1"/>
  <c r="W199" i="3" a="1"/>
  <c r="P68" i="3" a="1"/>
  <c r="P167" i="3" a="1"/>
  <c r="K48" i="4" a="1"/>
  <c r="K552" i="4" a="1"/>
  <c r="P175" i="3" a="1"/>
  <c r="P199" i="3" a="1"/>
  <c r="K336" i="4" a="1"/>
  <c r="I135" i="3" a="1"/>
  <c r="C82" i="3" a="1"/>
  <c r="I68" i="3" a="1"/>
  <c r="I127" i="3" a="1"/>
  <c r="P191" i="3" a="1"/>
  <c r="P151" i="3" a="1"/>
  <c r="K516" i="4" a="1"/>
  <c r="C68" i="3" a="1"/>
  <c r="B15" i="4" l="1"/>
  <c r="P68" i="3"/>
  <c r="W199" i="3"/>
  <c r="C33" i="4"/>
  <c r="B35" i="4" s="1"/>
  <c r="E28" i="4"/>
  <c r="B29" i="4" s="1"/>
  <c r="K516" i="4"/>
  <c r="K48" i="4"/>
  <c r="K552" i="4"/>
  <c r="K336" i="4"/>
  <c r="C82" i="3"/>
  <c r="B84" i="3" s="1"/>
  <c r="I68" i="3"/>
  <c r="C68" i="3"/>
  <c r="P175" i="3"/>
  <c r="P191" i="3"/>
  <c r="P151" i="3"/>
  <c r="P199" i="3"/>
  <c r="P167" i="3"/>
  <c r="I127" i="3"/>
  <c r="I135" i="3"/>
  <c r="C75" i="3"/>
  <c r="C77" i="3"/>
  <c r="P110" i="3"/>
  <c r="F45" i="2"/>
  <c r="F22" i="2"/>
  <c r="K22" i="2" s="1"/>
  <c r="G13" i="1"/>
  <c r="H13" i="1"/>
  <c r="C15" i="1"/>
  <c r="C14" i="1"/>
  <c r="B30" i="4" a="1"/>
  <c r="B36" i="4" a="1"/>
  <c r="B30" i="4" l="1"/>
  <c r="I39" i="4" s="1"/>
  <c r="I43" i="4" s="1"/>
  <c r="J75" i="4" s="1"/>
  <c r="J79" i="4" s="1"/>
  <c r="B36" i="4"/>
  <c r="E39" i="4" s="1"/>
  <c r="E43" i="4" s="1"/>
  <c r="F75" i="4" s="1"/>
  <c r="F79" i="4" s="1"/>
  <c r="B70" i="3"/>
  <c r="B71" i="3" s="1"/>
  <c r="S38" i="3" s="1"/>
  <c r="W214" i="3" s="1"/>
  <c r="B85" i="3"/>
  <c r="T38" i="3" s="1"/>
  <c r="J45" i="2"/>
  <c r="L45" i="2" s="1"/>
  <c r="K45" i="2"/>
  <c r="F47" i="2" s="1"/>
  <c r="F24" i="2"/>
  <c r="J22" i="2"/>
  <c r="L22" i="2" s="1"/>
  <c r="I13" i="1"/>
  <c r="J13" i="1"/>
  <c r="G14" i="1"/>
  <c r="H14" i="1"/>
  <c r="I14" i="1"/>
  <c r="J14" i="1"/>
  <c r="G15" i="1"/>
  <c r="H15" i="1"/>
  <c r="I15" i="1"/>
  <c r="J15" i="1"/>
  <c r="G47" i="4" a="1"/>
  <c r="W215" i="3" a="1"/>
  <c r="C56" i="4" a="1"/>
  <c r="P206" i="3" a="1"/>
  <c r="C95" i="3" a="1"/>
  <c r="E47" i="4" a="1"/>
  <c r="E56" i="4" a="1"/>
  <c r="W215" i="3" l="1"/>
  <c r="E56" i="4"/>
  <c r="C56" i="4"/>
  <c r="G47" i="4"/>
  <c r="E47" i="4"/>
  <c r="K623" i="4" a="1"/>
  <c r="K623" i="4" s="1"/>
  <c r="W222" i="3"/>
  <c r="C95" i="3"/>
  <c r="K587" i="4" a="1"/>
  <c r="K587" i="4" s="1"/>
  <c r="K111" i="4"/>
  <c r="K115" i="4" s="1"/>
  <c r="G111" i="4"/>
  <c r="G115" i="4" s="1"/>
  <c r="C87" i="3"/>
  <c r="C89" i="3" s="1"/>
  <c r="I142" i="3"/>
  <c r="P206" i="3"/>
  <c r="J47" i="2"/>
  <c r="L47" i="2" s="1"/>
  <c r="K47" i="2"/>
  <c r="F49" i="2" s="1"/>
  <c r="K24" i="2"/>
  <c r="F26" i="2" s="1"/>
  <c r="J24" i="2"/>
  <c r="L24" i="2" s="1"/>
  <c r="G16" i="1"/>
  <c r="I16" i="1"/>
  <c r="J16" i="1"/>
  <c r="H16" i="1"/>
  <c r="W223" i="3" a="1"/>
  <c r="K624" i="4" a="1"/>
  <c r="E57" i="4" a="1"/>
  <c r="E48" i="4" a="1"/>
  <c r="P207" i="3" a="1"/>
  <c r="C96" i="3" a="1"/>
  <c r="G48" i="4" a="1"/>
  <c r="I143" i="3" a="1"/>
  <c r="C57" i="4" a="1"/>
  <c r="C109" i="3" a="1"/>
  <c r="P214" i="3" a="1"/>
  <c r="K588" i="4" a="1"/>
  <c r="W223" i="3" l="1"/>
  <c r="E48" i="4"/>
  <c r="K624" i="4"/>
  <c r="G48" i="4"/>
  <c r="C57" i="4"/>
  <c r="E57" i="4"/>
  <c r="K588" i="4"/>
  <c r="H147" i="4"/>
  <c r="H151" i="4" s="1"/>
  <c r="L147" i="4"/>
  <c r="L151" i="4" s="1"/>
  <c r="C155" i="4" s="1"/>
  <c r="C96" i="3"/>
  <c r="B98" i="3" s="1"/>
  <c r="C91" i="3"/>
  <c r="C93" i="3"/>
  <c r="I143" i="3"/>
  <c r="P207" i="3"/>
  <c r="I150" i="3"/>
  <c r="P214" i="3"/>
  <c r="C109" i="3"/>
  <c r="C101" i="3"/>
  <c r="C103" i="3" s="1"/>
  <c r="K49" i="2"/>
  <c r="L49" i="2" s="1"/>
  <c r="J49" i="2"/>
  <c r="F51" i="2" s="1"/>
  <c r="J51" i="2" s="1"/>
  <c r="K51" i="2" s="1"/>
  <c r="L51" i="2" s="1"/>
  <c r="K26" i="2"/>
  <c r="F28" i="2" s="1"/>
  <c r="J28" i="2" s="1"/>
  <c r="J26" i="2"/>
  <c r="L26" i="2" s="1"/>
  <c r="C17" i="1"/>
  <c r="C172" i="4" a="1"/>
  <c r="I151" i="3" a="1"/>
  <c r="P215" i="3" a="1"/>
  <c r="C156" i="4" a="1"/>
  <c r="C110" i="3" a="1"/>
  <c r="B50" i="4" l="1"/>
  <c r="E64" i="4" s="1"/>
  <c r="B65" i="4" s="1"/>
  <c r="B59" i="4"/>
  <c r="C156" i="4"/>
  <c r="C172" i="4"/>
  <c r="C110" i="3"/>
  <c r="B113" i="3" s="1"/>
  <c r="I151" i="3"/>
  <c r="B99" i="3"/>
  <c r="P215" i="3"/>
  <c r="C105" i="3"/>
  <c r="C107" i="3"/>
  <c r="F53" i="2"/>
  <c r="L28" i="2"/>
  <c r="F30" i="2" s="1"/>
  <c r="K28" i="2"/>
  <c r="B66" i="4" a="1"/>
  <c r="B51" i="4" a="1"/>
  <c r="B60" i="4" a="1"/>
  <c r="B51" i="4" l="1"/>
  <c r="C69" i="4"/>
  <c r="B60" i="4"/>
  <c r="E69" i="4"/>
  <c r="B66" i="4"/>
  <c r="I75" i="4" s="1"/>
  <c r="I79" i="4" s="1"/>
  <c r="U38" i="3"/>
  <c r="B114" i="3" a="1"/>
  <c r="G83" i="4" a="1"/>
  <c r="C118" i="3" a="1"/>
  <c r="E83" i="4" a="1"/>
  <c r="P222" i="3" a="1"/>
  <c r="B71" i="4" l="1"/>
  <c r="K659" i="4" a="1"/>
  <c r="K659" i="4" s="1"/>
  <c r="W230" i="3"/>
  <c r="E83" i="4"/>
  <c r="G83" i="4"/>
  <c r="J111" i="4"/>
  <c r="J115" i="4" s="1"/>
  <c r="K147" i="4" s="1"/>
  <c r="K151" i="4" s="1"/>
  <c r="C118" i="3"/>
  <c r="P222" i="3"/>
  <c r="I158" i="3"/>
  <c r="B114" i="3"/>
  <c r="V38" i="3" s="1"/>
  <c r="W231" i="3" a="1"/>
  <c r="G84" i="4" a="1"/>
  <c r="B72" i="4" a="1"/>
  <c r="K660" i="4" a="1"/>
  <c r="C119" i="3" a="1"/>
  <c r="C126" i="3" a="1"/>
  <c r="E84" i="4" a="1"/>
  <c r="I159" i="3" a="1"/>
  <c r="P223" i="3" a="1"/>
  <c r="P230" i="3" a="1"/>
  <c r="B72" i="4" l="1"/>
  <c r="E75" i="4" s="1"/>
  <c r="E79" i="4" s="1"/>
  <c r="F111" i="4" s="1"/>
  <c r="F115" i="4" s="1"/>
  <c r="G147" i="4" s="1"/>
  <c r="G151" i="4" s="1"/>
  <c r="H183" i="4" s="1"/>
  <c r="H187" i="4" s="1"/>
  <c r="W231" i="3"/>
  <c r="K660" i="4"/>
  <c r="K695" i="4" a="1"/>
  <c r="K695" i="4" s="1"/>
  <c r="W238" i="3"/>
  <c r="G84" i="4"/>
  <c r="E84" i="4"/>
  <c r="L183" i="4"/>
  <c r="L187" i="4" s="1"/>
  <c r="C191" i="4" s="1"/>
  <c r="C126" i="3"/>
  <c r="C119" i="3"/>
  <c r="B121" i="3" s="1"/>
  <c r="I159" i="3"/>
  <c r="P223" i="3"/>
  <c r="I166" i="3"/>
  <c r="P230" i="3"/>
  <c r="E92" i="4" a="1"/>
  <c r="B122" i="3" a="1"/>
  <c r="C127" i="3" a="1"/>
  <c r="C92" i="4" a="1"/>
  <c r="I167" i="3" a="1"/>
  <c r="C192" i="4" a="1"/>
  <c r="K696" i="4" a="1"/>
  <c r="W239" i="3" a="1"/>
  <c r="C208" i="4" a="1"/>
  <c r="P231" i="3" a="1"/>
  <c r="E92" i="4" l="1"/>
  <c r="C92" i="4"/>
  <c r="B122" i="3"/>
  <c r="W38" i="3" s="1"/>
  <c r="W246" i="3" s="1"/>
  <c r="W239" i="3"/>
  <c r="K696" i="4"/>
  <c r="B86" i="4"/>
  <c r="C105" i="4" s="1"/>
  <c r="C192" i="4"/>
  <c r="C208" i="4"/>
  <c r="I167" i="3"/>
  <c r="C127" i="3"/>
  <c r="B129" i="3" s="1"/>
  <c r="P231" i="3"/>
  <c r="B130" i="3" a="1"/>
  <c r="W247" i="3" a="1"/>
  <c r="B87" i="4" a="1"/>
  <c r="C93" i="4" a="1"/>
  <c r="P238" i="3" a="1"/>
  <c r="C134" i="3" a="1"/>
  <c r="E93" i="4" a="1"/>
  <c r="C93" i="4" l="1"/>
  <c r="E93" i="4"/>
  <c r="W247" i="3"/>
  <c r="B87" i="4"/>
  <c r="E100" i="4"/>
  <c r="B101" i="4" s="1"/>
  <c r="I174" i="3"/>
  <c r="K731" i="4" a="1"/>
  <c r="K731" i="4" s="1"/>
  <c r="C134" i="3"/>
  <c r="P238" i="3"/>
  <c r="B130" i="3"/>
  <c r="X38" i="3" s="1"/>
  <c r="C135" i="3" a="1"/>
  <c r="P239" i="3" a="1"/>
  <c r="B102" i="4" a="1"/>
  <c r="K732" i="4" a="1"/>
  <c r="I175" i="3" a="1"/>
  <c r="C142" i="3" a="1"/>
  <c r="P246" i="3" a="1"/>
  <c r="B95" i="4" l="1"/>
  <c r="E105" i="4" s="1"/>
  <c r="B107" i="4" s="1"/>
  <c r="K767" i="4" a="1"/>
  <c r="K767" i="4" s="1"/>
  <c r="W254" i="3"/>
  <c r="B102" i="4"/>
  <c r="I111" i="4" s="1"/>
  <c r="I115" i="4" s="1"/>
  <c r="I175" i="3"/>
  <c r="K732" i="4"/>
  <c r="P239" i="3"/>
  <c r="C135" i="3"/>
  <c r="B137" i="3" s="1"/>
  <c r="P246" i="3"/>
  <c r="C142" i="3"/>
  <c r="I182" i="3"/>
  <c r="G119" i="4" a="1"/>
  <c r="C143" i="3" a="1"/>
  <c r="B138" i="3" a="1"/>
  <c r="B108" i="4" a="1"/>
  <c r="W255" i="3" a="1"/>
  <c r="E119" i="4" a="1"/>
  <c r="P247" i="3" a="1"/>
  <c r="K768" i="4" a="1"/>
  <c r="I183" i="3" a="1"/>
  <c r="B96" i="4" a="1"/>
  <c r="B96" i="4" l="1"/>
  <c r="B108" i="4"/>
  <c r="E111" i="4" s="1"/>
  <c r="E115" i="4" s="1"/>
  <c r="F147" i="4" s="1"/>
  <c r="F151" i="4" s="1"/>
  <c r="G183" i="4" s="1"/>
  <c r="G187" i="4" s="1"/>
  <c r="H219" i="4" s="1"/>
  <c r="H223" i="4" s="1"/>
  <c r="W255" i="3"/>
  <c r="K768" i="4"/>
  <c r="G119" i="4"/>
  <c r="E119" i="4"/>
  <c r="J147" i="4"/>
  <c r="J151" i="4" s="1"/>
  <c r="K183" i="4" s="1"/>
  <c r="K187" i="4" s="1"/>
  <c r="L219" i="4" s="1"/>
  <c r="L223" i="4" s="1"/>
  <c r="C227" i="4" s="1"/>
  <c r="B138" i="3"/>
  <c r="P247" i="3"/>
  <c r="I183" i="3"/>
  <c r="C143" i="3"/>
  <c r="B145" i="3" s="1"/>
  <c r="C128" i="4" a="1"/>
  <c r="B146" i="3" a="1"/>
  <c r="G120" i="4" a="1"/>
  <c r="E128" i="4" a="1"/>
  <c r="C244" i="4" a="1"/>
  <c r="E120" i="4" a="1"/>
  <c r="C228" i="4" a="1"/>
  <c r="E128" i="4" l="1"/>
  <c r="C128" i="4"/>
  <c r="E120" i="4"/>
  <c r="G120" i="4"/>
  <c r="C244" i="4"/>
  <c r="C228" i="4"/>
  <c r="Y38" i="3"/>
  <c r="B146" i="3"/>
  <c r="Z38" i="3" s="1"/>
  <c r="C150" i="3" a="1"/>
  <c r="E129" i="4" a="1"/>
  <c r="P262" i="3" a="1"/>
  <c r="P254" i="3" a="1"/>
  <c r="C158" i="3" a="1"/>
  <c r="C129" i="4" a="1"/>
  <c r="C129" i="4" l="1"/>
  <c r="E129" i="4"/>
  <c r="K803" i="4" a="1"/>
  <c r="K803" i="4" s="1"/>
  <c r="W262" i="3"/>
  <c r="K839" i="4" a="1"/>
  <c r="K839" i="4" s="1"/>
  <c r="W270" i="3"/>
  <c r="B122" i="4"/>
  <c r="C150" i="3"/>
  <c r="P254" i="3"/>
  <c r="I190" i="3"/>
  <c r="P262" i="3"/>
  <c r="I198" i="3"/>
  <c r="C158" i="3"/>
  <c r="C159" i="3" a="1"/>
  <c r="C151" i="3" a="1"/>
  <c r="I199" i="3" a="1"/>
  <c r="P263" i="3" a="1"/>
  <c r="I191" i="3" a="1"/>
  <c r="B123" i="4" a="1"/>
  <c r="K840" i="4" a="1"/>
  <c r="W263" i="3" a="1"/>
  <c r="K804" i="4" a="1"/>
  <c r="W271" i="3" a="1"/>
  <c r="P255" i="3" a="1"/>
  <c r="B131" i="4" l="1"/>
  <c r="W271" i="3"/>
  <c r="K840" i="4"/>
  <c r="W263" i="3"/>
  <c r="K804" i="4"/>
  <c r="B123" i="4"/>
  <c r="C141" i="4"/>
  <c r="E136" i="4"/>
  <c r="B137" i="4" s="1"/>
  <c r="I191" i="3"/>
  <c r="P255" i="3"/>
  <c r="C151" i="3"/>
  <c r="B153" i="3" s="1"/>
  <c r="I199" i="3"/>
  <c r="P263" i="3"/>
  <c r="C159" i="3"/>
  <c r="B161" i="3" s="1"/>
  <c r="B162" i="3" a="1"/>
  <c r="B154" i="3" a="1"/>
  <c r="B138" i="4" a="1"/>
  <c r="B132" i="4" a="1"/>
  <c r="B132" i="4" l="1"/>
  <c r="E141" i="4"/>
  <c r="B143" i="4" s="1"/>
  <c r="B138" i="4"/>
  <c r="I147" i="4" s="1"/>
  <c r="I151" i="4" s="1"/>
  <c r="B154" i="3"/>
  <c r="B162" i="3"/>
  <c r="B144" i="4" a="1"/>
  <c r="G155" i="4" a="1"/>
  <c r="E155" i="4" a="1"/>
  <c r="B144" i="4" l="1"/>
  <c r="E147" i="4" s="1"/>
  <c r="E151" i="4" s="1"/>
  <c r="F183" i="4" s="1"/>
  <c r="F187" i="4" s="1"/>
  <c r="G219" i="4" s="1"/>
  <c r="G223" i="4" s="1"/>
  <c r="H255" i="4" s="1"/>
  <c r="H259" i="4" s="1"/>
  <c r="G155" i="4"/>
  <c r="E155" i="4"/>
  <c r="J183" i="4"/>
  <c r="J187" i="4" s="1"/>
  <c r="K219" i="4" s="1"/>
  <c r="K223" i="4" s="1"/>
  <c r="L255" i="4" s="1"/>
  <c r="L259" i="4" s="1"/>
  <c r="C263" i="4" s="1"/>
  <c r="AB38" i="3"/>
  <c r="W286" i="3" s="1"/>
  <c r="AA38" i="3"/>
  <c r="E156" i="4" a="1"/>
  <c r="C174" i="3" a="1"/>
  <c r="P270" i="3" a="1"/>
  <c r="P278" i="3" a="1"/>
  <c r="C166" i="3" a="1"/>
  <c r="G156" i="4" a="1"/>
  <c r="C280" i="4" a="1"/>
  <c r="W287" i="3" a="1"/>
  <c r="E164" i="4" a="1"/>
  <c r="C164" i="4" a="1"/>
  <c r="C264" i="4" a="1"/>
  <c r="W287" i="3" l="1"/>
  <c r="K875" i="4" a="1"/>
  <c r="K875" i="4" s="1"/>
  <c r="W278" i="3"/>
  <c r="E164" i="4"/>
  <c r="C164" i="4"/>
  <c r="C264" i="4"/>
  <c r="E156" i="4"/>
  <c r="G156" i="4"/>
  <c r="I214" i="3"/>
  <c r="K911" i="4" a="1"/>
  <c r="K911" i="4" s="1"/>
  <c r="C280" i="4"/>
  <c r="C166" i="3"/>
  <c r="P270" i="3"/>
  <c r="P278" i="3"/>
  <c r="C174" i="3"/>
  <c r="I206" i="3"/>
  <c r="K912" i="4" a="1"/>
  <c r="P271" i="3" a="1"/>
  <c r="K876" i="4" a="1"/>
  <c r="W279" i="3" a="1"/>
  <c r="E165" i="4" a="1"/>
  <c r="P279" i="3" a="1"/>
  <c r="I207" i="3" a="1"/>
  <c r="C175" i="3" a="1"/>
  <c r="I215" i="3" a="1"/>
  <c r="C167" i="3" a="1"/>
  <c r="C165" i="4" a="1"/>
  <c r="W279" i="3" l="1"/>
  <c r="K876" i="4"/>
  <c r="C165" i="4"/>
  <c r="E165" i="4"/>
  <c r="B158" i="4"/>
  <c r="K912" i="4"/>
  <c r="I215" i="3"/>
  <c r="P279" i="3"/>
  <c r="P271" i="3"/>
  <c r="C167" i="3"/>
  <c r="B169" i="3" s="1"/>
  <c r="I207" i="3"/>
  <c r="C175" i="3"/>
  <c r="B177" i="3" s="1"/>
  <c r="B178" i="3" a="1"/>
  <c r="B170" i="3" a="1"/>
  <c r="B159" i="4" a="1"/>
  <c r="B167" i="4" l="1"/>
  <c r="B159" i="4"/>
  <c r="C177" i="4"/>
  <c r="E172" i="4"/>
  <c r="B173" i="4" s="1"/>
  <c r="B170" i="3"/>
  <c r="B178" i="3"/>
  <c r="B174" i="4" a="1"/>
  <c r="B168" i="4" a="1"/>
  <c r="B168" i="4" l="1"/>
  <c r="E177" i="4"/>
  <c r="B179" i="4" s="1"/>
  <c r="B174" i="4"/>
  <c r="I183" i="4" s="1"/>
  <c r="I187" i="4" s="1"/>
  <c r="J219" i="4" s="1"/>
  <c r="J223" i="4" s="1"/>
  <c r="K255" i="4" s="1"/>
  <c r="K259" i="4" s="1"/>
  <c r="L291" i="4" s="1"/>
  <c r="L295" i="4" s="1"/>
  <c r="C299" i="4" s="1"/>
  <c r="AD38" i="3"/>
  <c r="AC38" i="3"/>
  <c r="G191" i="4" a="1"/>
  <c r="P286" i="3" a="1"/>
  <c r="P294" i="3" a="1"/>
  <c r="C300" i="4" a="1"/>
  <c r="E191" i="4" a="1"/>
  <c r="C190" i="3" a="1"/>
  <c r="B180" i="4" a="1"/>
  <c r="C182" i="3" a="1"/>
  <c r="K947" i="4" l="1" a="1"/>
  <c r="K947" i="4" s="1"/>
  <c r="W294" i="3"/>
  <c r="K983" i="4" a="1"/>
  <c r="K983" i="4" s="1"/>
  <c r="W302" i="3"/>
  <c r="B180" i="4"/>
  <c r="E183" i="4" s="1"/>
  <c r="E187" i="4" s="1"/>
  <c r="F219" i="4" s="1"/>
  <c r="F223" i="4" s="1"/>
  <c r="G255" i="4" s="1"/>
  <c r="G259" i="4" s="1"/>
  <c r="H291" i="4" s="1"/>
  <c r="H295" i="4" s="1"/>
  <c r="G191" i="4"/>
  <c r="E191" i="4"/>
  <c r="C300" i="4"/>
  <c r="P294" i="3"/>
  <c r="C190" i="3"/>
  <c r="C182" i="3"/>
  <c r="P286" i="3"/>
  <c r="I230" i="3"/>
  <c r="I222" i="3"/>
  <c r="K984" i="4" a="1"/>
  <c r="W303" i="3" a="1"/>
  <c r="E200" i="4" a="1"/>
  <c r="W295" i="3" a="1"/>
  <c r="K948" i="4" a="1"/>
  <c r="P295" i="3" a="1"/>
  <c r="C191" i="3" a="1"/>
  <c r="C183" i="3" a="1"/>
  <c r="C316" i="4" a="1"/>
  <c r="P287" i="3" a="1"/>
  <c r="E192" i="4" a="1"/>
  <c r="I223" i="3" a="1"/>
  <c r="C200" i="4" a="1"/>
  <c r="I231" i="3" a="1"/>
  <c r="G192" i="4" a="1"/>
  <c r="W303" i="3" l="1"/>
  <c r="K984" i="4"/>
  <c r="W295" i="3"/>
  <c r="K948" i="4"/>
  <c r="E200" i="4"/>
  <c r="C200" i="4"/>
  <c r="E192" i="4"/>
  <c r="G192" i="4"/>
  <c r="C316" i="4"/>
  <c r="I231" i="3"/>
  <c r="C183" i="3"/>
  <c r="B185" i="3" s="1"/>
  <c r="I223" i="3"/>
  <c r="P287" i="3"/>
  <c r="C191" i="3"/>
  <c r="B193" i="3" s="1"/>
  <c r="P295" i="3"/>
  <c r="E201" i="4" a="1"/>
  <c r="C201" i="4" a="1"/>
  <c r="B186" i="3" a="1"/>
  <c r="B194" i="3" a="1"/>
  <c r="B194" i="3" l="1"/>
  <c r="E201" i="4"/>
  <c r="C201" i="4"/>
  <c r="B194" i="4"/>
  <c r="B186" i="3"/>
  <c r="B195" i="4" a="1"/>
  <c r="B203" i="4" l="1"/>
  <c r="E213" i="4" s="1"/>
  <c r="B195" i="4"/>
  <c r="C213" i="4"/>
  <c r="E208" i="4"/>
  <c r="B209" i="4" s="1"/>
  <c r="AE38" i="3"/>
  <c r="AF38" i="3"/>
  <c r="C206" i="3" a="1"/>
  <c r="B210" i="4" a="1"/>
  <c r="P310" i="3" a="1"/>
  <c r="B204" i="4" a="1"/>
  <c r="P302" i="3" a="1"/>
  <c r="C198" i="3" a="1"/>
  <c r="K1055" i="4" l="1" a="1"/>
  <c r="K1055" i="4" s="1"/>
  <c r="W318" i="3"/>
  <c r="K1019" i="4" a="1"/>
  <c r="K1019" i="4" s="1"/>
  <c r="W310" i="3"/>
  <c r="B204" i="4"/>
  <c r="B210" i="4"/>
  <c r="I219" i="4" s="1"/>
  <c r="I223" i="4" s="1"/>
  <c r="B215" i="4"/>
  <c r="P310" i="3"/>
  <c r="C206" i="3"/>
  <c r="C198" i="3"/>
  <c r="P302" i="3"/>
  <c r="I246" i="3"/>
  <c r="I238" i="3"/>
  <c r="E227" i="4" a="1"/>
  <c r="B216" i="4" a="1"/>
  <c r="C207" i="3" a="1"/>
  <c r="C199" i="3" a="1"/>
  <c r="I247" i="3" a="1"/>
  <c r="W311" i="3" a="1"/>
  <c r="G227" i="4" a="1"/>
  <c r="P303" i="3" a="1"/>
  <c r="W319" i="3" a="1"/>
  <c r="K1020" i="4" a="1"/>
  <c r="K1056" i="4" a="1"/>
  <c r="I239" i="3" a="1"/>
  <c r="P311" i="3" a="1"/>
  <c r="W311" i="3" l="1"/>
  <c r="K1020" i="4"/>
  <c r="W319" i="3"/>
  <c r="K1056" i="4"/>
  <c r="G227" i="4"/>
  <c r="E227" i="4"/>
  <c r="B216" i="4"/>
  <c r="E219" i="4" s="1"/>
  <c r="E223" i="4" s="1"/>
  <c r="J255" i="4"/>
  <c r="J259" i="4" s="1"/>
  <c r="K291" i="4" s="1"/>
  <c r="K295" i="4" s="1"/>
  <c r="L327" i="4" s="1"/>
  <c r="L331" i="4" s="1"/>
  <c r="C335" i="4" s="1"/>
  <c r="I247" i="3"/>
  <c r="P303" i="3"/>
  <c r="C199" i="3"/>
  <c r="B201" i="3" s="1"/>
  <c r="C207" i="3"/>
  <c r="B209" i="3" s="1"/>
  <c r="I239" i="3"/>
  <c r="P311" i="3"/>
  <c r="C236" i="4" a="1"/>
  <c r="B202" i="3" a="1"/>
  <c r="C336" i="4" a="1"/>
  <c r="B210" i="3" a="1"/>
  <c r="G228" i="4" a="1"/>
  <c r="E236" i="4" a="1"/>
  <c r="E228" i="4" a="1"/>
  <c r="B202" i="3" l="1"/>
  <c r="C236" i="4"/>
  <c r="E236" i="4"/>
  <c r="E228" i="4"/>
  <c r="G228" i="4"/>
  <c r="C336" i="4"/>
  <c r="F255" i="4"/>
  <c r="F259" i="4" s="1"/>
  <c r="G291" i="4" s="1"/>
  <c r="G295" i="4" s="1"/>
  <c r="H327" i="4" s="1"/>
  <c r="H331" i="4" s="1"/>
  <c r="B210" i="3"/>
  <c r="E237" i="4" a="1"/>
  <c r="C237" i="4" a="1"/>
  <c r="C352" i="4" a="1"/>
  <c r="C352" i="4" l="1"/>
  <c r="E237" i="4"/>
  <c r="C237" i="4"/>
  <c r="B230" i="4"/>
  <c r="AH38" i="3"/>
  <c r="AG38" i="3"/>
  <c r="C214" i="3" a="1"/>
  <c r="P318" i="3" a="1"/>
  <c r="P326" i="3" a="1"/>
  <c r="C222" i="3" a="1"/>
  <c r="B231" i="4" a="1"/>
  <c r="K1091" i="4" l="1" a="1"/>
  <c r="K1091" i="4" s="1"/>
  <c r="W326" i="3"/>
  <c r="K1127" i="4" a="1"/>
  <c r="K1127" i="4" s="1"/>
  <c r="W334" i="3"/>
  <c r="B239" i="4"/>
  <c r="B231" i="4"/>
  <c r="C249" i="4"/>
  <c r="E244" i="4"/>
  <c r="B245" i="4" s="1"/>
  <c r="P326" i="3"/>
  <c r="C222" i="3"/>
  <c r="C214" i="3"/>
  <c r="P318" i="3"/>
  <c r="I262" i="3"/>
  <c r="I254" i="3"/>
  <c r="W335" i="3" a="1"/>
  <c r="K1128" i="4" a="1"/>
  <c r="C215" i="3" a="1"/>
  <c r="B240" i="4" a="1"/>
  <c r="I255" i="3" a="1"/>
  <c r="P319" i="3" a="1"/>
  <c r="B246" i="4" a="1"/>
  <c r="W327" i="3" a="1"/>
  <c r="C223" i="3" a="1"/>
  <c r="P327" i="3" a="1"/>
  <c r="I263" i="3" a="1"/>
  <c r="K1092" i="4" a="1"/>
  <c r="K1092" i="4" l="1"/>
  <c r="K1128" i="4"/>
  <c r="W335" i="3"/>
  <c r="W327" i="3"/>
  <c r="B240" i="4"/>
  <c r="E249" i="4"/>
  <c r="B251" i="4" s="1"/>
  <c r="B246" i="4"/>
  <c r="I255" i="4" s="1"/>
  <c r="I259" i="4" s="1"/>
  <c r="I255" i="3"/>
  <c r="C215" i="3"/>
  <c r="B217" i="3" s="1"/>
  <c r="P319" i="3"/>
  <c r="I263" i="3"/>
  <c r="C223" i="3"/>
  <c r="B225" i="3" s="1"/>
  <c r="P327" i="3"/>
  <c r="B226" i="3" a="1"/>
  <c r="B252" i="4" a="1"/>
  <c r="E263" i="4" a="1"/>
  <c r="B218" i="3" a="1"/>
  <c r="G263" i="4" a="1"/>
  <c r="B252" i="4" l="1"/>
  <c r="E255" i="4" s="1"/>
  <c r="E259" i="4" s="1"/>
  <c r="E263" i="4"/>
  <c r="G263" i="4"/>
  <c r="J291" i="4"/>
  <c r="J295" i="4" s="1"/>
  <c r="K327" i="4" s="1"/>
  <c r="K331" i="4" s="1"/>
  <c r="L363" i="4" s="1"/>
  <c r="L367" i="4" s="1"/>
  <c r="C371" i="4" s="1"/>
  <c r="B226" i="3"/>
  <c r="B218" i="3"/>
  <c r="G264" i="4" a="1"/>
  <c r="E264" i="4" a="1"/>
  <c r="C372" i="4" a="1"/>
  <c r="E272" i="4" a="1"/>
  <c r="C272" i="4" a="1"/>
  <c r="G264" i="4" l="1"/>
  <c r="E264" i="4"/>
  <c r="C272" i="4"/>
  <c r="E272" i="4"/>
  <c r="C372" i="4"/>
  <c r="F291" i="4"/>
  <c r="F295" i="4" s="1"/>
  <c r="G327" i="4" s="1"/>
  <c r="G331" i="4" s="1"/>
  <c r="H363" i="4" s="1"/>
  <c r="H367" i="4" s="1"/>
  <c r="AI38" i="3"/>
  <c r="AJ38" i="3"/>
  <c r="C273" i="4" a="1"/>
  <c r="P334" i="3" a="1"/>
  <c r="P342" i="3" a="1"/>
  <c r="C388" i="4" a="1"/>
  <c r="E273" i="4" a="1"/>
  <c r="C238" i="3" a="1"/>
  <c r="C230" i="3" a="1"/>
  <c r="K1199" i="4" l="1" a="1"/>
  <c r="K1199" i="4" s="1"/>
  <c r="W350" i="3"/>
  <c r="K1163" i="4" a="1"/>
  <c r="K1163" i="4" s="1"/>
  <c r="W342" i="3"/>
  <c r="B266" i="4"/>
  <c r="C388" i="4"/>
  <c r="C273" i="4"/>
  <c r="E273" i="4"/>
  <c r="C230" i="3"/>
  <c r="P334" i="3"/>
  <c r="P342" i="3"/>
  <c r="C238" i="3"/>
  <c r="I270" i="3"/>
  <c r="I278" i="3"/>
  <c r="K1200" i="4" a="1"/>
  <c r="I279" i="3" a="1"/>
  <c r="P343" i="3" a="1"/>
  <c r="C231" i="3" a="1"/>
  <c r="P335" i="3" a="1"/>
  <c r="K1164" i="4" a="1"/>
  <c r="W343" i="3" a="1"/>
  <c r="C239" i="3" a="1"/>
  <c r="W351" i="3" a="1"/>
  <c r="I271" i="3" a="1"/>
  <c r="B267" i="4" a="1"/>
  <c r="K1164" i="4" l="1"/>
  <c r="K1200" i="4"/>
  <c r="W343" i="3"/>
  <c r="W351" i="3"/>
  <c r="B267" i="4"/>
  <c r="C285" i="4"/>
  <c r="E280" i="4"/>
  <c r="B281" i="4" s="1"/>
  <c r="B275" i="4"/>
  <c r="E285" i="4" s="1"/>
  <c r="I279" i="3"/>
  <c r="C239" i="3"/>
  <c r="B241" i="3" s="1"/>
  <c r="P343" i="3"/>
  <c r="P335" i="3"/>
  <c r="C231" i="3"/>
  <c r="B233" i="3" s="1"/>
  <c r="I271" i="3"/>
  <c r="B282" i="4" a="1"/>
  <c r="B276" i="4" a="1"/>
  <c r="B234" i="3" a="1"/>
  <c r="B242" i="3" a="1"/>
  <c r="B282" i="4" l="1"/>
  <c r="I291" i="4" s="1"/>
  <c r="I295" i="4" s="1"/>
  <c r="B287" i="4"/>
  <c r="B276" i="4"/>
  <c r="B242" i="3"/>
  <c r="B234" i="3"/>
  <c r="E299" i="4" a="1"/>
  <c r="B288" i="4" a="1"/>
  <c r="G299" i="4" a="1"/>
  <c r="B288" i="4" l="1"/>
  <c r="E291" i="4" s="1"/>
  <c r="E295" i="4" s="1"/>
  <c r="F327" i="4" s="1"/>
  <c r="F331" i="4" s="1"/>
  <c r="G363" i="4" s="1"/>
  <c r="G367" i="4" s="1"/>
  <c r="H399" i="4" s="1"/>
  <c r="H403" i="4" s="1"/>
  <c r="G299" i="4"/>
  <c r="E299" i="4"/>
  <c r="J327" i="4"/>
  <c r="J331" i="4" s="1"/>
  <c r="K363" i="4" s="1"/>
  <c r="K367" i="4" s="1"/>
  <c r="L399" i="4" s="1"/>
  <c r="L403" i="4" s="1"/>
  <c r="C407" i="4" s="1"/>
  <c r="AL38" i="3"/>
  <c r="AK38" i="3"/>
  <c r="G300" i="4" a="1"/>
  <c r="P358" i="3" a="1"/>
  <c r="C408" i="4" a="1"/>
  <c r="C308" i="4" a="1"/>
  <c r="E300" i="4" a="1"/>
  <c r="E308" i="4" a="1"/>
  <c r="C254" i="3" a="1"/>
  <c r="P350" i="3" a="1"/>
  <c r="C424" i="4" a="1"/>
  <c r="C246" i="3" a="1"/>
  <c r="K1235" i="4" l="1" a="1"/>
  <c r="K1235" i="4" s="1"/>
  <c r="W358" i="3"/>
  <c r="K1271" i="4" a="1"/>
  <c r="K1271" i="4" s="1"/>
  <c r="W366" i="3"/>
  <c r="C408" i="4"/>
  <c r="E300" i="4"/>
  <c r="G300" i="4"/>
  <c r="C308" i="4"/>
  <c r="E308" i="4"/>
  <c r="C424" i="4"/>
  <c r="C254" i="3"/>
  <c r="P358" i="3"/>
  <c r="C246" i="3"/>
  <c r="P350" i="3"/>
  <c r="I294" i="3"/>
  <c r="I286" i="3"/>
  <c r="C255" i="3" a="1"/>
  <c r="P359" i="3" a="1"/>
  <c r="K1272" i="4" a="1"/>
  <c r="C247" i="3" a="1"/>
  <c r="P351" i="3" a="1"/>
  <c r="K1236" i="4" a="1"/>
  <c r="E309" i="4" a="1"/>
  <c r="I295" i="3" a="1"/>
  <c r="W367" i="3" a="1"/>
  <c r="C309" i="4" a="1"/>
  <c r="W359" i="3" a="1"/>
  <c r="I287" i="3" a="1"/>
  <c r="K1236" i="4" l="1"/>
  <c r="W367" i="3"/>
  <c r="K1272" i="4"/>
  <c r="W359" i="3"/>
  <c r="C309" i="4"/>
  <c r="E309" i="4"/>
  <c r="B302" i="4"/>
  <c r="P351" i="3"/>
  <c r="I287" i="3"/>
  <c r="C247" i="3"/>
  <c r="B249" i="3" s="1"/>
  <c r="I295" i="3"/>
  <c r="P359" i="3"/>
  <c r="C255" i="3"/>
  <c r="B257" i="3" s="1"/>
  <c r="B258" i="3" a="1"/>
  <c r="B303" i="4" a="1"/>
  <c r="B250" i="3" a="1"/>
  <c r="B311" i="4" l="1"/>
  <c r="E321" i="4" s="1"/>
  <c r="B303" i="4"/>
  <c r="C321" i="4"/>
  <c r="E316" i="4"/>
  <c r="B317" i="4" s="1"/>
  <c r="B250" i="3"/>
  <c r="B258" i="3"/>
  <c r="B318" i="4" a="1"/>
  <c r="B312" i="4" a="1"/>
  <c r="B312" i="4" l="1"/>
  <c r="B318" i="4"/>
  <c r="I327" i="4" s="1"/>
  <c r="I331" i="4" s="1"/>
  <c r="B323" i="4"/>
  <c r="AN38" i="3"/>
  <c r="AM38" i="3"/>
  <c r="B324" i="4" a="1"/>
  <c r="G335" i="4" a="1"/>
  <c r="C262" i="3" a="1"/>
  <c r="E335" i="4" a="1"/>
  <c r="C270" i="3" a="1"/>
  <c r="P374" i="3" a="1"/>
  <c r="P366" i="3" a="1"/>
  <c r="K1307" i="4" l="1" a="1"/>
  <c r="K1307" i="4" s="1"/>
  <c r="W374" i="3"/>
  <c r="K1343" i="4" a="1"/>
  <c r="K1343" i="4" s="1"/>
  <c r="W382" i="3"/>
  <c r="B324" i="4"/>
  <c r="E327" i="4" s="1"/>
  <c r="E331" i="4" s="1"/>
  <c r="G335" i="4"/>
  <c r="E335" i="4"/>
  <c r="J363" i="4"/>
  <c r="J367" i="4" s="1"/>
  <c r="K399" i="4" s="1"/>
  <c r="K403" i="4" s="1"/>
  <c r="L435" i="4" s="1"/>
  <c r="L439" i="4" s="1"/>
  <c r="C443" i="4" s="1"/>
  <c r="C270" i="3"/>
  <c r="P374" i="3"/>
  <c r="C262" i="3"/>
  <c r="P366" i="3"/>
  <c r="I310" i="3"/>
  <c r="I302" i="3"/>
  <c r="K1308" i="4" a="1"/>
  <c r="E336" i="4" a="1"/>
  <c r="K1344" i="4" a="1"/>
  <c r="C271" i="3" a="1"/>
  <c r="W375" i="3" a="1"/>
  <c r="W383" i="3" a="1"/>
  <c r="I303" i="3" a="1"/>
  <c r="C263" i="3" a="1"/>
  <c r="I311" i="3" a="1"/>
  <c r="E344" i="4" a="1"/>
  <c r="C444" i="4" a="1"/>
  <c r="G336" i="4" a="1"/>
  <c r="C344" i="4" a="1"/>
  <c r="P375" i="3" a="1"/>
  <c r="P367" i="3" a="1"/>
  <c r="W383" i="3" l="1"/>
  <c r="K1344" i="4"/>
  <c r="W375" i="3"/>
  <c r="K1308" i="4"/>
  <c r="G336" i="4"/>
  <c r="C444" i="4"/>
  <c r="E344" i="4"/>
  <c r="C344" i="4"/>
  <c r="E336" i="4"/>
  <c r="F363" i="4"/>
  <c r="F367" i="4" s="1"/>
  <c r="G399" i="4" s="1"/>
  <c r="G403" i="4" s="1"/>
  <c r="H435" i="4" s="1"/>
  <c r="H439" i="4" s="1"/>
  <c r="P367" i="3"/>
  <c r="C263" i="3"/>
  <c r="B265" i="3" s="1"/>
  <c r="I303" i="3"/>
  <c r="P375" i="3"/>
  <c r="I311" i="3"/>
  <c r="C271" i="3"/>
  <c r="B273" i="3" s="1"/>
  <c r="C460" i="4" a="1"/>
  <c r="C345" i="4" a="1"/>
  <c r="B274" i="3" a="1"/>
  <c r="B266" i="3" a="1"/>
  <c r="E345" i="4" a="1"/>
  <c r="B338" i="4" l="1"/>
  <c r="C460" i="4"/>
  <c r="E345" i="4"/>
  <c r="C345" i="4"/>
  <c r="B266" i="3"/>
  <c r="B274" i="3"/>
  <c r="B339" i="4" a="1"/>
  <c r="B347" i="4" l="1"/>
  <c r="B339" i="4"/>
  <c r="E352" i="4"/>
  <c r="B353" i="4" s="1"/>
  <c r="C357" i="4"/>
  <c r="AP38" i="3"/>
  <c r="AO38" i="3"/>
  <c r="C286" i="3" a="1"/>
  <c r="P382" i="3" a="1"/>
  <c r="B348" i="4" a="1"/>
  <c r="C278" i="3" a="1"/>
  <c r="P390" i="3" a="1"/>
  <c r="B354" i="4" a="1"/>
  <c r="K1379" i="4" l="1" a="1"/>
  <c r="K1379" i="4" s="1"/>
  <c r="W390" i="3"/>
  <c r="K1415" i="4" a="1"/>
  <c r="K1415" i="4" s="1"/>
  <c r="W398" i="3"/>
  <c r="B348" i="4"/>
  <c r="E357" i="4"/>
  <c r="B359" i="4" s="1"/>
  <c r="B354" i="4"/>
  <c r="I363" i="4" s="1"/>
  <c r="I367" i="4" s="1"/>
  <c r="J399" i="4" s="1"/>
  <c r="J403" i="4" s="1"/>
  <c r="K435" i="4" s="1"/>
  <c r="K439" i="4" s="1"/>
  <c r="L471" i="4" s="1"/>
  <c r="L475" i="4" s="1"/>
  <c r="C479" i="4" s="1"/>
  <c r="C278" i="3"/>
  <c r="P382" i="3"/>
  <c r="C286" i="3"/>
  <c r="P390" i="3"/>
  <c r="I318" i="3"/>
  <c r="I326" i="3"/>
  <c r="K1380" i="4" a="1"/>
  <c r="C480" i="4" a="1"/>
  <c r="E371" i="4" a="1"/>
  <c r="P391" i="3" a="1"/>
  <c r="C287" i="3" a="1"/>
  <c r="I327" i="3" a="1"/>
  <c r="W399" i="3" a="1"/>
  <c r="B360" i="4" a="1"/>
  <c r="P383" i="3" a="1"/>
  <c r="I319" i="3" a="1"/>
  <c r="G371" i="4" a="1"/>
  <c r="K1416" i="4" a="1"/>
  <c r="C279" i="3" a="1"/>
  <c r="W391" i="3" a="1"/>
  <c r="K1380" i="4" l="1"/>
  <c r="W399" i="3"/>
  <c r="K1416" i="4"/>
  <c r="W391" i="3"/>
  <c r="B360" i="4"/>
  <c r="E363" i="4" s="1"/>
  <c r="E367" i="4" s="1"/>
  <c r="G371" i="4"/>
  <c r="E371" i="4"/>
  <c r="C480" i="4"/>
  <c r="P391" i="3"/>
  <c r="C287" i="3"/>
  <c r="B289" i="3" s="1"/>
  <c r="I319" i="3"/>
  <c r="I327" i="3"/>
  <c r="P383" i="3"/>
  <c r="C279" i="3"/>
  <c r="B281" i="3" s="1"/>
  <c r="B290" i="3" a="1"/>
  <c r="E380" i="4" a="1"/>
  <c r="B282" i="3" a="1"/>
  <c r="C380" i="4" a="1"/>
  <c r="G372" i="4" a="1"/>
  <c r="E372" i="4" a="1"/>
  <c r="E380" i="4" l="1"/>
  <c r="C380" i="4"/>
  <c r="F399" i="4"/>
  <c r="F403" i="4" s="1"/>
  <c r="G435" i="4" s="1"/>
  <c r="G439" i="4" s="1"/>
  <c r="H471" i="4" s="1"/>
  <c r="H475" i="4" s="1"/>
  <c r="G372" i="4"/>
  <c r="E372" i="4"/>
  <c r="B290" i="3"/>
  <c r="B282" i="3"/>
  <c r="C496" i="4" a="1"/>
  <c r="C381" i="4" a="1"/>
  <c r="E381" i="4" a="1"/>
  <c r="B374" i="4" l="1"/>
  <c r="C496" i="4"/>
  <c r="C381" i="4"/>
  <c r="E381" i="4"/>
  <c r="AQ38" i="3"/>
  <c r="AR38" i="3"/>
  <c r="C302" i="3" a="1"/>
  <c r="P406" i="3" a="1"/>
  <c r="C294" i="3" a="1"/>
  <c r="P398" i="3" a="1"/>
  <c r="B375" i="4" a="1"/>
  <c r="B375" i="4" l="1"/>
  <c r="E388" i="4"/>
  <c r="B389" i="4" s="1"/>
  <c r="C393" i="4"/>
  <c r="K1451" i="4" a="1"/>
  <c r="K1451" i="4" s="1"/>
  <c r="W406" i="3"/>
  <c r="K1487" i="4" a="1"/>
  <c r="K1487" i="4" s="1"/>
  <c r="W414" i="3"/>
  <c r="B383" i="4"/>
  <c r="E393" i="4" s="1"/>
  <c r="C302" i="3"/>
  <c r="P406" i="3"/>
  <c r="C294" i="3"/>
  <c r="P398" i="3"/>
  <c r="I342" i="3"/>
  <c r="I334" i="3"/>
  <c r="I343" i="3" a="1"/>
  <c r="B384" i="4" a="1"/>
  <c r="W407" i="3" a="1"/>
  <c r="I335" i="3" a="1"/>
  <c r="B390" i="4" a="1"/>
  <c r="P407" i="3" a="1"/>
  <c r="W415" i="3" a="1"/>
  <c r="K1488" i="4" a="1"/>
  <c r="K1452" i="4" a="1"/>
  <c r="C303" i="3" a="1"/>
  <c r="P399" i="3" a="1"/>
  <c r="C295" i="3" a="1"/>
  <c r="B395" i="4" l="1"/>
  <c r="B390" i="4"/>
  <c r="I399" i="4" s="1"/>
  <c r="I403" i="4" s="1"/>
  <c r="W415" i="3"/>
  <c r="K1488" i="4"/>
  <c r="W407" i="3"/>
  <c r="K1452" i="4"/>
  <c r="B384" i="4"/>
  <c r="P399" i="3"/>
  <c r="C295" i="3"/>
  <c r="B297" i="3" s="1"/>
  <c r="P407" i="3"/>
  <c r="I335" i="3"/>
  <c r="I343" i="3"/>
  <c r="C303" i="3"/>
  <c r="B305" i="3" s="1"/>
  <c r="E407" i="4" a="1"/>
  <c r="B306" i="3" a="1"/>
  <c r="B298" i="3" a="1"/>
  <c r="G407" i="4" a="1"/>
  <c r="B396" i="4" a="1"/>
  <c r="B396" i="4" l="1"/>
  <c r="E399" i="4" s="1"/>
  <c r="E403" i="4" s="1"/>
  <c r="G407" i="4"/>
  <c r="E407" i="4"/>
  <c r="J435" i="4"/>
  <c r="J439" i="4" s="1"/>
  <c r="K471" i="4" s="1"/>
  <c r="K475" i="4" s="1"/>
  <c r="L507" i="4" s="1"/>
  <c r="L511" i="4" s="1"/>
  <c r="C515" i="4" s="1"/>
  <c r="B306" i="3"/>
  <c r="B298" i="3"/>
  <c r="E408" i="4" a="1"/>
  <c r="C516" i="4" a="1"/>
  <c r="E416" i="4" a="1"/>
  <c r="C416" i="4" a="1"/>
  <c r="G408" i="4" a="1"/>
  <c r="E416" i="4" l="1"/>
  <c r="C416" i="4"/>
  <c r="F435" i="4"/>
  <c r="F439" i="4" s="1"/>
  <c r="G471" i="4" s="1"/>
  <c r="G475" i="4" s="1"/>
  <c r="H507" i="4" s="1"/>
  <c r="H511" i="4" s="1"/>
  <c r="E408" i="4"/>
  <c r="C516" i="4"/>
  <c r="G408" i="4"/>
  <c r="AS38" i="3"/>
  <c r="AT38" i="3"/>
  <c r="P422" i="3" a="1"/>
  <c r="C417" i="4" a="1"/>
  <c r="P414" i="3" a="1"/>
  <c r="C310" i="3" a="1"/>
  <c r="C318" i="3" a="1"/>
  <c r="E417" i="4" a="1"/>
  <c r="C532" i="4" a="1"/>
  <c r="C532" i="4" l="1"/>
  <c r="C417" i="4"/>
  <c r="E417" i="4"/>
  <c r="B410" i="4"/>
  <c r="K1559" i="4" a="1"/>
  <c r="K1559" i="4" s="1"/>
  <c r="W430" i="3"/>
  <c r="K1523" i="4" a="1"/>
  <c r="K1523" i="4" s="1"/>
  <c r="W422" i="3"/>
  <c r="C310" i="3"/>
  <c r="P414" i="3"/>
  <c r="C318" i="3"/>
  <c r="P422" i="3"/>
  <c r="I350" i="3"/>
  <c r="I358" i="3"/>
  <c r="P415" i="3" a="1"/>
  <c r="C319" i="3" a="1"/>
  <c r="P423" i="3" a="1"/>
  <c r="W423" i="3" a="1"/>
  <c r="K1524" i="4" a="1"/>
  <c r="I359" i="3" a="1"/>
  <c r="K1560" i="4" a="1"/>
  <c r="B411" i="4" a="1"/>
  <c r="W431" i="3" a="1"/>
  <c r="I351" i="3" a="1"/>
  <c r="C311" i="3" a="1"/>
  <c r="B419" i="4" l="1"/>
  <c r="B411" i="4"/>
  <c r="E424" i="4"/>
  <c r="B425" i="4" s="1"/>
  <c r="C429" i="4"/>
  <c r="K1560" i="4"/>
  <c r="W423" i="3"/>
  <c r="K1524" i="4"/>
  <c r="W431" i="3"/>
  <c r="I359" i="3"/>
  <c r="C319" i="3"/>
  <c r="B321" i="3" s="1"/>
  <c r="P423" i="3"/>
  <c r="C311" i="3"/>
  <c r="B313" i="3" s="1"/>
  <c r="P415" i="3"/>
  <c r="I351" i="3"/>
  <c r="B314" i="3" a="1"/>
  <c r="B426" i="4" a="1"/>
  <c r="B420" i="4" a="1"/>
  <c r="B322" i="3" a="1"/>
  <c r="B420" i="4" l="1"/>
  <c r="E429" i="4"/>
  <c r="B431" i="4" s="1"/>
  <c r="B426" i="4"/>
  <c r="I435" i="4" s="1"/>
  <c r="I439" i="4" s="1"/>
  <c r="B314" i="3"/>
  <c r="B322" i="3"/>
  <c r="G443" i="4" a="1"/>
  <c r="B432" i="4" a="1"/>
  <c r="E443" i="4" a="1"/>
  <c r="B432" i="4" l="1"/>
  <c r="E435" i="4" s="1"/>
  <c r="E439" i="4" s="1"/>
  <c r="F471" i="4" s="1"/>
  <c r="F475" i="4" s="1"/>
  <c r="G507" i="4" s="1"/>
  <c r="G511" i="4" s="1"/>
  <c r="H543" i="4" s="1"/>
  <c r="H547" i="4" s="1"/>
  <c r="E443" i="4"/>
  <c r="G443" i="4"/>
  <c r="J471" i="4"/>
  <c r="J475" i="4" s="1"/>
  <c r="K507" i="4" s="1"/>
  <c r="K511" i="4" s="1"/>
  <c r="L543" i="4" s="1"/>
  <c r="L547" i="4" s="1"/>
  <c r="C551" i="4" s="1"/>
  <c r="AV38" i="3"/>
  <c r="AU38" i="3"/>
  <c r="C452" i="4" a="1"/>
  <c r="E452" i="4" a="1"/>
  <c r="C552" i="4" a="1"/>
  <c r="G444" i="4" a="1"/>
  <c r="C568" i="4" a="1"/>
  <c r="E444" i="4" a="1"/>
  <c r="C334" i="3" a="1"/>
  <c r="C326" i="3" a="1"/>
  <c r="P430" i="3" a="1"/>
  <c r="P438" i="3" a="1"/>
  <c r="C452" i="4" l="1"/>
  <c r="E452" i="4"/>
  <c r="C568" i="4"/>
  <c r="C552" i="4"/>
  <c r="G444" i="4"/>
  <c r="E444" i="4"/>
  <c r="K1631" i="4" a="1"/>
  <c r="K1631" i="4" s="1"/>
  <c r="W446" i="3"/>
  <c r="K1595" i="4" a="1"/>
  <c r="K1595" i="4" s="1"/>
  <c r="W438" i="3"/>
  <c r="C334" i="3"/>
  <c r="P438" i="3"/>
  <c r="C326" i="3"/>
  <c r="P430" i="3"/>
  <c r="I374" i="3"/>
  <c r="I366" i="3"/>
  <c r="I375" i="3" a="1"/>
  <c r="C335" i="3" a="1"/>
  <c r="C327" i="3" a="1"/>
  <c r="P439" i="3" a="1"/>
  <c r="K1632" i="4" a="1"/>
  <c r="K1596" i="4" a="1"/>
  <c r="I367" i="3" a="1"/>
  <c r="W447" i="3" a="1"/>
  <c r="W439" i="3" a="1"/>
  <c r="E453" i="4" a="1"/>
  <c r="P431" i="3" a="1"/>
  <c r="C453" i="4" a="1"/>
  <c r="C453" i="4" l="1"/>
  <c r="E453" i="4"/>
  <c r="B446" i="4"/>
  <c r="K1632" i="4"/>
  <c r="K1596" i="4"/>
  <c r="W439" i="3"/>
  <c r="W447" i="3"/>
  <c r="C327" i="3"/>
  <c r="B329" i="3" s="1"/>
  <c r="P431" i="3"/>
  <c r="I367" i="3"/>
  <c r="I375" i="3"/>
  <c r="P439" i="3"/>
  <c r="C335" i="3"/>
  <c r="B337" i="3" s="1"/>
  <c r="B330" i="3" a="1"/>
  <c r="B338" i="3" a="1"/>
  <c r="B447" i="4" a="1"/>
  <c r="B455" i="4" l="1"/>
  <c r="B447" i="4"/>
  <c r="E460" i="4"/>
  <c r="B461" i="4" s="1"/>
  <c r="C465" i="4"/>
  <c r="B338" i="3"/>
  <c r="B330" i="3"/>
  <c r="B462" i="4" a="1"/>
  <c r="B456" i="4" a="1"/>
  <c r="B456" i="4" l="1"/>
  <c r="E465" i="4"/>
  <c r="B467" i="4" s="1"/>
  <c r="B462" i="4"/>
  <c r="I471" i="4" s="1"/>
  <c r="I475" i="4" s="1"/>
  <c r="AW38" i="3"/>
  <c r="AX38" i="3"/>
  <c r="E479" i="4" a="1"/>
  <c r="C350" i="3" a="1"/>
  <c r="G479" i="4" a="1"/>
  <c r="C342" i="3" a="1"/>
  <c r="P446" i="3" a="1"/>
  <c r="B468" i="4" a="1"/>
  <c r="P454" i="3" a="1"/>
  <c r="B468" i="4" l="1"/>
  <c r="E471" i="4" s="1"/>
  <c r="E475" i="4" s="1"/>
  <c r="G479" i="4"/>
  <c r="E479" i="4"/>
  <c r="J507" i="4"/>
  <c r="J511" i="4" s="1"/>
  <c r="K543" i="4" s="1"/>
  <c r="K547" i="4" s="1"/>
  <c r="L579" i="4" s="1"/>
  <c r="L583" i="4" s="1"/>
  <c r="C587" i="4" s="1"/>
  <c r="K1667" i="4" a="1"/>
  <c r="K1667" i="4" s="1"/>
  <c r="W454" i="3"/>
  <c r="K1703" i="4" a="1"/>
  <c r="K1703" i="4" s="1"/>
  <c r="W462" i="3"/>
  <c r="C342" i="3"/>
  <c r="P446" i="3"/>
  <c r="C350" i="3"/>
  <c r="P454" i="3"/>
  <c r="I382" i="3"/>
  <c r="I390" i="3"/>
  <c r="K1704" i="4" a="1"/>
  <c r="K1668" i="4" a="1"/>
  <c r="C351" i="3" a="1"/>
  <c r="C588" i="4" a="1"/>
  <c r="E488" i="4" a="1"/>
  <c r="W463" i="3" a="1"/>
  <c r="W455" i="3" a="1"/>
  <c r="C343" i="3" a="1"/>
  <c r="E480" i="4" a="1"/>
  <c r="P447" i="3" a="1"/>
  <c r="I383" i="3" a="1"/>
  <c r="G480" i="4" a="1"/>
  <c r="C488" i="4" a="1"/>
  <c r="P455" i="3" a="1"/>
  <c r="I391" i="3" a="1"/>
  <c r="C488" i="4" l="1"/>
  <c r="E488" i="4"/>
  <c r="F507" i="4"/>
  <c r="F511" i="4" s="1"/>
  <c r="G543" i="4" s="1"/>
  <c r="G547" i="4" s="1"/>
  <c r="H579" i="4" s="1"/>
  <c r="H583" i="4" s="1"/>
  <c r="C588" i="4"/>
  <c r="E480" i="4"/>
  <c r="G480" i="4"/>
  <c r="W455" i="3"/>
  <c r="W463" i="3"/>
  <c r="K1704" i="4"/>
  <c r="K1668" i="4"/>
  <c r="C351" i="3"/>
  <c r="B353" i="3" s="1"/>
  <c r="I391" i="3"/>
  <c r="C343" i="3"/>
  <c r="B345" i="3" s="1"/>
  <c r="I383" i="3"/>
  <c r="P455" i="3"/>
  <c r="P447" i="3"/>
  <c r="C489" i="4" a="1"/>
  <c r="C604" i="4" a="1"/>
  <c r="E489" i="4" a="1"/>
  <c r="B346" i="3" a="1"/>
  <c r="B354" i="3" a="1"/>
  <c r="C489" i="4" l="1"/>
  <c r="C604" i="4"/>
  <c r="E489" i="4"/>
  <c r="B482" i="4"/>
  <c r="B346" i="3"/>
  <c r="B354" i="3"/>
  <c r="B483" i="4" a="1"/>
  <c r="B491" i="4" l="1"/>
  <c r="B483" i="4"/>
  <c r="E496" i="4"/>
  <c r="B497" i="4" s="1"/>
  <c r="C501" i="4"/>
  <c r="AZ38" i="3"/>
  <c r="K1775" i="4" s="1" a="1"/>
  <c r="K1775" i="4" s="1"/>
  <c r="AY38" i="3"/>
  <c r="K1739" i="4" s="1" a="1"/>
  <c r="K1739" i="4" s="1"/>
  <c r="C358" i="3" a="1"/>
  <c r="P462" i="3" a="1"/>
  <c r="B498" i="4" a="1"/>
  <c r="K1740" i="4" a="1"/>
  <c r="C366" i="3" a="1"/>
  <c r="B492" i="4" a="1"/>
  <c r="K1776" i="4" a="1"/>
  <c r="B492" i="4" l="1"/>
  <c r="E501" i="4"/>
  <c r="B503" i="4" s="1"/>
  <c r="B498" i="4"/>
  <c r="I507" i="4" s="1"/>
  <c r="I511" i="4" s="1"/>
  <c r="K1776" i="4"/>
  <c r="K1740" i="4"/>
  <c r="C358" i="3"/>
  <c r="P462" i="3"/>
  <c r="C366" i="3"/>
  <c r="I398" i="3"/>
  <c r="I406" i="3"/>
  <c r="C367" i="3" a="1"/>
  <c r="P463" i="3" a="1"/>
  <c r="I399" i="3" a="1"/>
  <c r="B504" i="4" a="1"/>
  <c r="I407" i="3" a="1"/>
  <c r="E515" i="4" a="1"/>
  <c r="C359" i="3" a="1"/>
  <c r="G515" i="4" a="1"/>
  <c r="B504" i="4" l="1"/>
  <c r="E507" i="4" s="1"/>
  <c r="E511" i="4" s="1"/>
  <c r="F543" i="4" s="1"/>
  <c r="F547" i="4" s="1"/>
  <c r="G579" i="4" s="1"/>
  <c r="G583" i="4" s="1"/>
  <c r="H615" i="4" s="1"/>
  <c r="H619" i="4" s="1"/>
  <c r="E515" i="4"/>
  <c r="G515" i="4"/>
  <c r="J543" i="4"/>
  <c r="J547" i="4" s="1"/>
  <c r="K579" i="4" s="1"/>
  <c r="K583" i="4" s="1"/>
  <c r="L615" i="4" s="1"/>
  <c r="L619" i="4" s="1"/>
  <c r="C623" i="4" s="1"/>
  <c r="I399" i="3"/>
  <c r="C367" i="3"/>
  <c r="B369" i="3" s="1"/>
  <c r="I407" i="3"/>
  <c r="P463" i="3"/>
  <c r="C359" i="3"/>
  <c r="B361" i="3" s="1"/>
  <c r="C640" i="4" a="1"/>
  <c r="E516" i="4" a="1"/>
  <c r="E524" i="4" a="1"/>
  <c r="B362" i="3" a="1"/>
  <c r="C624" i="4" a="1"/>
  <c r="C524" i="4" a="1"/>
  <c r="B370" i="3" a="1"/>
  <c r="G516" i="4" a="1"/>
  <c r="E524" i="4" l="1"/>
  <c r="C524" i="4"/>
  <c r="C624" i="4"/>
  <c r="C640" i="4"/>
  <c r="G516" i="4"/>
  <c r="E516" i="4"/>
  <c r="B370" i="3"/>
  <c r="B362" i="3"/>
  <c r="E525" i="4" a="1"/>
  <c r="C525" i="4" a="1"/>
  <c r="B518" i="4" l="1"/>
  <c r="C537" i="4" s="1"/>
  <c r="E525" i="4"/>
  <c r="C525" i="4"/>
  <c r="BA38" i="3"/>
  <c r="K1811" i="4" s="1" a="1"/>
  <c r="K1811" i="4" s="1"/>
  <c r="BB38" i="3"/>
  <c r="K1847" i="4" s="1" a="1"/>
  <c r="K1847" i="4" s="1"/>
  <c r="C382" i="3" a="1"/>
  <c r="C374" i="3" a="1"/>
  <c r="K1848" i="4" a="1"/>
  <c r="K1812" i="4" a="1"/>
  <c r="B519" i="4" a="1"/>
  <c r="B519" i="4" l="1"/>
  <c r="E532" i="4"/>
  <c r="B533" i="4" s="1"/>
  <c r="B527" i="4"/>
  <c r="K1848" i="4"/>
  <c r="K1812" i="4"/>
  <c r="C382" i="3"/>
  <c r="C374" i="3"/>
  <c r="I422" i="3"/>
  <c r="I414" i="3"/>
  <c r="I423" i="3" a="1"/>
  <c r="B528" i="4" a="1"/>
  <c r="C383" i="3" a="1"/>
  <c r="I415" i="3" a="1"/>
  <c r="C375" i="3" a="1"/>
  <c r="B534" i="4" a="1"/>
  <c r="B534" i="4" l="1"/>
  <c r="I543" i="4" s="1"/>
  <c r="I547" i="4" s="1"/>
  <c r="J579" i="4" s="1"/>
  <c r="J583" i="4" s="1"/>
  <c r="K615" i="4" s="1"/>
  <c r="K619" i="4" s="1"/>
  <c r="L651" i="4" s="1"/>
  <c r="L655" i="4" s="1"/>
  <c r="C659" i="4" s="1"/>
  <c r="B528" i="4"/>
  <c r="E537" i="4"/>
  <c r="B539" i="4" s="1"/>
  <c r="C375" i="3"/>
  <c r="B377" i="3" s="1"/>
  <c r="I423" i="3"/>
  <c r="I415" i="3"/>
  <c r="C383" i="3"/>
  <c r="B385" i="3" s="1"/>
  <c r="G551" i="4" a="1"/>
  <c r="B386" i="3" a="1"/>
  <c r="B540" i="4" a="1"/>
  <c r="B378" i="3" a="1"/>
  <c r="C660" i="4" a="1"/>
  <c r="E551" i="4" a="1"/>
  <c r="E551" i="4" l="1"/>
  <c r="G551" i="4"/>
  <c r="B540" i="4"/>
  <c r="E543" i="4" s="1"/>
  <c r="E547" i="4" s="1"/>
  <c r="F579" i="4" s="1"/>
  <c r="F583" i="4" s="1"/>
  <c r="G615" i="4" s="1"/>
  <c r="G619" i="4" s="1"/>
  <c r="H651" i="4" s="1"/>
  <c r="H655" i="4" s="1"/>
  <c r="C660" i="4"/>
  <c r="B386" i="3"/>
  <c r="B378" i="3"/>
  <c r="E560" i="4" a="1"/>
  <c r="C676" i="4" a="1"/>
  <c r="E552" i="4" a="1"/>
  <c r="G552" i="4" a="1"/>
  <c r="C560" i="4" a="1"/>
  <c r="G552" i="4" l="1"/>
  <c r="E552" i="4"/>
  <c r="C560" i="4"/>
  <c r="E560" i="4"/>
  <c r="C676" i="4"/>
  <c r="BD38" i="3"/>
  <c r="K1919" i="4" s="1" a="1"/>
  <c r="K1919" i="4" s="1"/>
  <c r="BC38" i="3"/>
  <c r="K1883" i="4" s="1" a="1"/>
  <c r="K1883" i="4" s="1"/>
  <c r="K1884" i="4" a="1"/>
  <c r="C398" i="3" a="1"/>
  <c r="K1920" i="4" a="1"/>
  <c r="C390" i="3" a="1"/>
  <c r="E561" i="4" a="1"/>
  <c r="C561" i="4" a="1"/>
  <c r="B554" i="4" l="1"/>
  <c r="E568" i="4" s="1"/>
  <c r="B569" i="4" s="1"/>
  <c r="E561" i="4"/>
  <c r="C561" i="4"/>
  <c r="K1920" i="4"/>
  <c r="K1884" i="4"/>
  <c r="C390" i="3"/>
  <c r="C398" i="3"/>
  <c r="I430" i="3"/>
  <c r="I438" i="3"/>
  <c r="C391" i="3" a="1"/>
  <c r="I439" i="3" a="1"/>
  <c r="B570" i="4" a="1"/>
  <c r="B555" i="4" a="1"/>
  <c r="I431" i="3" a="1"/>
  <c r="C399" i="3" a="1"/>
  <c r="B555" i="4" l="1"/>
  <c r="C573" i="4"/>
  <c r="B563" i="4"/>
  <c r="B570" i="4"/>
  <c r="I579" i="4" s="1"/>
  <c r="I583" i="4" s="1"/>
  <c r="C399" i="3"/>
  <c r="B401" i="3" s="1"/>
  <c r="C391" i="3"/>
  <c r="B393" i="3" s="1"/>
  <c r="I431" i="3"/>
  <c r="I439" i="3"/>
  <c r="E587" i="4" a="1"/>
  <c r="B564" i="4" a="1"/>
  <c r="G587" i="4" a="1"/>
  <c r="B402" i="3" a="1"/>
  <c r="B394" i="3" a="1"/>
  <c r="B564" i="4" l="1"/>
  <c r="E573" i="4"/>
  <c r="B575" i="4" s="1"/>
  <c r="E587" i="4"/>
  <c r="G587" i="4"/>
  <c r="J615" i="4"/>
  <c r="J619" i="4" s="1"/>
  <c r="K651" i="4" s="1"/>
  <c r="K655" i="4" s="1"/>
  <c r="L687" i="4" s="1"/>
  <c r="L691" i="4" s="1"/>
  <c r="C695" i="4" s="1"/>
  <c r="B402" i="3"/>
  <c r="B394" i="3"/>
  <c r="B576" i="4" a="1"/>
  <c r="E588" i="4" a="1"/>
  <c r="C696" i="4" a="1"/>
  <c r="G588" i="4" a="1"/>
  <c r="B576" i="4" l="1"/>
  <c r="E579" i="4" s="1"/>
  <c r="E583" i="4" s="1"/>
  <c r="F615" i="4" s="1"/>
  <c r="F619" i="4" s="1"/>
  <c r="G651" i="4" s="1"/>
  <c r="G655" i="4" s="1"/>
  <c r="H687" i="4" s="1"/>
  <c r="H691" i="4" s="1"/>
  <c r="E588" i="4"/>
  <c r="G588" i="4"/>
  <c r="C696" i="4"/>
  <c r="BE38" i="3"/>
  <c r="K1955" i="4" s="1" a="1"/>
  <c r="K1955" i="4" s="1"/>
  <c r="BF38" i="3"/>
  <c r="K1991" i="4" s="1" a="1"/>
  <c r="K1991" i="4" s="1"/>
  <c r="K1956" i="4" a="1"/>
  <c r="E596" i="4" a="1"/>
  <c r="C596" i="4" a="1"/>
  <c r="K1992" i="4" a="1"/>
  <c r="C712" i="4" a="1"/>
  <c r="C414" i="3" a="1"/>
  <c r="C406" i="3" a="1"/>
  <c r="E596" i="4" l="1"/>
  <c r="C596" i="4"/>
  <c r="C712" i="4"/>
  <c r="B590" i="4"/>
  <c r="C609" i="4" s="1"/>
  <c r="K1992" i="4"/>
  <c r="K1956" i="4"/>
  <c r="C414" i="3"/>
  <c r="C406" i="3"/>
  <c r="I454" i="3"/>
  <c r="I446" i="3"/>
  <c r="I455" i="3" a="1"/>
  <c r="I447" i="3" a="1"/>
  <c r="C415" i="3" a="1"/>
  <c r="E597" i="4" a="1"/>
  <c r="C407" i="3" a="1"/>
  <c r="C597" i="4" a="1"/>
  <c r="B591" i="4" a="1"/>
  <c r="C597" i="4" l="1"/>
  <c r="E597" i="4"/>
  <c r="B591" i="4"/>
  <c r="E604" i="4"/>
  <c r="B605" i="4" s="1"/>
  <c r="I455" i="3"/>
  <c r="C407" i="3"/>
  <c r="B409" i="3" s="1"/>
  <c r="I447" i="3"/>
  <c r="C415" i="3"/>
  <c r="B417" i="3" s="1"/>
  <c r="B418" i="3" a="1"/>
  <c r="B410" i="3" a="1"/>
  <c r="B606" i="4" a="1"/>
  <c r="B599" i="4" l="1"/>
  <c r="B606" i="4"/>
  <c r="I615" i="4" s="1"/>
  <c r="I619" i="4" s="1"/>
  <c r="B418" i="3"/>
  <c r="B410" i="3"/>
  <c r="E623" i="4" a="1"/>
  <c r="G623" i="4" a="1"/>
  <c r="B600" i="4" a="1"/>
  <c r="B600" i="4" l="1"/>
  <c r="E609" i="4"/>
  <c r="B611" i="4" s="1"/>
  <c r="E623" i="4"/>
  <c r="G623" i="4"/>
  <c r="J651" i="4"/>
  <c r="J655" i="4" s="1"/>
  <c r="K687" i="4" s="1"/>
  <c r="K691" i="4" s="1"/>
  <c r="L723" i="4" s="1"/>
  <c r="L727" i="4" s="1"/>
  <c r="C731" i="4" s="1"/>
  <c r="BH38" i="3"/>
  <c r="K2063" i="4" s="1" a="1"/>
  <c r="K2063" i="4" s="1"/>
  <c r="BG38" i="3"/>
  <c r="K2027" i="4" s="1" a="1"/>
  <c r="K2027" i="4" s="1"/>
  <c r="C430" i="3" a="1"/>
  <c r="C732" i="4" a="1"/>
  <c r="E624" i="4" a="1"/>
  <c r="G624" i="4" a="1"/>
  <c r="K2028" i="4" a="1"/>
  <c r="C422" i="3" a="1"/>
  <c r="B612" i="4" a="1"/>
  <c r="K2064" i="4" a="1"/>
  <c r="B612" i="4" l="1"/>
  <c r="E615" i="4" s="1"/>
  <c r="E619" i="4" s="1"/>
  <c r="G624" i="4"/>
  <c r="E624" i="4"/>
  <c r="C732" i="4"/>
  <c r="K2028" i="4"/>
  <c r="K2064" i="4"/>
  <c r="C430" i="3"/>
  <c r="C422" i="3"/>
  <c r="I462" i="3"/>
  <c r="C423" i="3" a="1"/>
  <c r="E632" i="4" a="1"/>
  <c r="I463" i="3" a="1"/>
  <c r="C632" i="4" a="1"/>
  <c r="C431" i="3" a="1"/>
  <c r="E632" i="4" l="1"/>
  <c r="C632" i="4"/>
  <c r="F651" i="4"/>
  <c r="F655" i="4" s="1"/>
  <c r="G687" i="4" s="1"/>
  <c r="G691" i="4" s="1"/>
  <c r="H723" i="4" s="1"/>
  <c r="H727" i="4" s="1"/>
  <c r="B626" i="4"/>
  <c r="C645" i="4" s="1"/>
  <c r="I463" i="3"/>
  <c r="C431" i="3"/>
  <c r="B433" i="3" s="1"/>
  <c r="C423" i="3"/>
  <c r="B425" i="3" s="1"/>
  <c r="C748" i="4" a="1"/>
  <c r="B627" i="4" a="1"/>
  <c r="B426" i="3" a="1"/>
  <c r="E633" i="4" a="1"/>
  <c r="B434" i="3" a="1"/>
  <c r="C633" i="4" a="1"/>
  <c r="C748" i="4" l="1"/>
  <c r="C633" i="4"/>
  <c r="E633" i="4"/>
  <c r="B627" i="4"/>
  <c r="E640" i="4"/>
  <c r="B641" i="4" s="1"/>
  <c r="B426" i="3"/>
  <c r="B434" i="3"/>
  <c r="BJ38" i="3" s="1"/>
  <c r="K2135" i="4" s="1" a="1"/>
  <c r="K2135" i="4" s="1"/>
  <c r="C446" i="3" a="1"/>
  <c r="B642" i="4" a="1"/>
  <c r="K2136" i="4" a="1"/>
  <c r="B635" i="4" l="1"/>
  <c r="B642" i="4"/>
  <c r="I651" i="4" s="1"/>
  <c r="I655" i="4" s="1"/>
  <c r="J687" i="4" s="1"/>
  <c r="J691" i="4" s="1"/>
  <c r="K723" i="4" s="1"/>
  <c r="K727" i="4" s="1"/>
  <c r="L759" i="4" s="1"/>
  <c r="L763" i="4" s="1"/>
  <c r="C767" i="4" s="1"/>
  <c r="K2136" i="4"/>
  <c r="C446" i="3"/>
  <c r="BI38" i="3"/>
  <c r="K2099" i="4" s="1" a="1"/>
  <c r="K2099" i="4" s="1"/>
  <c r="K2100" i="4" a="1"/>
  <c r="C438" i="3" a="1"/>
  <c r="C768" i="4" a="1"/>
  <c r="E659" i="4" a="1"/>
  <c r="C447" i="3" a="1"/>
  <c r="G659" i="4" a="1"/>
  <c r="B636" i="4" a="1"/>
  <c r="B636" i="4" l="1"/>
  <c r="E645" i="4"/>
  <c r="B647" i="4" s="1"/>
  <c r="G659" i="4"/>
  <c r="E659" i="4"/>
  <c r="C768" i="4"/>
  <c r="K2100" i="4"/>
  <c r="C438" i="3"/>
  <c r="C447" i="3"/>
  <c r="B449" i="3" s="1"/>
  <c r="G660" i="4" a="1"/>
  <c r="B648" i="4" a="1"/>
  <c r="E660" i="4" a="1"/>
  <c r="B450" i="3" a="1"/>
  <c r="C439" i="3" a="1"/>
  <c r="B648" i="4" l="1"/>
  <c r="E651" i="4" s="1"/>
  <c r="E655" i="4" s="1"/>
  <c r="G660" i="4"/>
  <c r="E660" i="4"/>
  <c r="B450" i="3"/>
  <c r="BL38" i="3" s="1"/>
  <c r="K2207" i="4" s="1" a="1"/>
  <c r="K2207" i="4" s="1"/>
  <c r="C439" i="3"/>
  <c r="B441" i="3" s="1"/>
  <c r="C462" i="3" a="1"/>
  <c r="K2208" i="4" a="1"/>
  <c r="C668" i="4" a="1"/>
  <c r="E668" i="4" a="1"/>
  <c r="B442" i="3" a="1"/>
  <c r="E668" i="4" l="1"/>
  <c r="C668" i="4"/>
  <c r="F687" i="4"/>
  <c r="F691" i="4" s="1"/>
  <c r="G723" i="4" s="1"/>
  <c r="G727" i="4" s="1"/>
  <c r="H759" i="4" s="1"/>
  <c r="H763" i="4" s="1"/>
  <c r="B662" i="4"/>
  <c r="K2208" i="4"/>
  <c r="B442" i="3"/>
  <c r="BK38" i="3" s="1"/>
  <c r="K2171" i="4" s="1" a="1"/>
  <c r="K2171" i="4" s="1"/>
  <c r="C462" i="3"/>
  <c r="B663" i="4" a="1"/>
  <c r="E669" i="4" a="1"/>
  <c r="K2172" i="4" a="1"/>
  <c r="C669" i="4" a="1"/>
  <c r="C463" i="3" a="1"/>
  <c r="C784" i="4" a="1"/>
  <c r="C454" i="3" a="1"/>
  <c r="C784" i="4" l="1"/>
  <c r="C669" i="4"/>
  <c r="E669" i="4"/>
  <c r="B663" i="4"/>
  <c r="C681" i="4"/>
  <c r="E676" i="4"/>
  <c r="B677" i="4" s="1"/>
  <c r="K2172" i="4"/>
  <c r="C463" i="3"/>
  <c r="B465" i="3" s="1"/>
  <c r="C454" i="3"/>
  <c r="B466" i="3" a="1"/>
  <c r="C455" i="3" a="1"/>
  <c r="B678" i="4" a="1"/>
  <c r="B671" i="4" l="1"/>
  <c r="E681" i="4" s="1"/>
  <c r="B683" i="4" s="1"/>
  <c r="B678" i="4"/>
  <c r="I687" i="4" s="1"/>
  <c r="I691" i="4" s="1"/>
  <c r="J723" i="4" s="1"/>
  <c r="J727" i="4" s="1"/>
  <c r="K759" i="4" s="1"/>
  <c r="K763" i="4" s="1"/>
  <c r="L795" i="4" s="1"/>
  <c r="L799" i="4" s="1"/>
  <c r="C803" i="4" s="1"/>
  <c r="C455" i="3"/>
  <c r="B457" i="3" s="1"/>
  <c r="B466" i="3"/>
  <c r="BN38" i="3" s="1"/>
  <c r="K2279" i="4" s="1" a="1"/>
  <c r="K2279" i="4" s="1"/>
  <c r="E695" i="4" a="1"/>
  <c r="G695" i="4" a="1"/>
  <c r="B458" i="3" a="1"/>
  <c r="B672" i="4" a="1"/>
  <c r="B684" i="4" a="1"/>
  <c r="C804" i="4" a="1"/>
  <c r="K2280" i="4" a="1"/>
  <c r="B672" i="4" l="1"/>
  <c r="B684" i="4"/>
  <c r="E687" i="4" s="1"/>
  <c r="E691" i="4" s="1"/>
  <c r="G695" i="4"/>
  <c r="E695" i="4"/>
  <c r="C804" i="4"/>
  <c r="K2280" i="4"/>
  <c r="B458" i="3"/>
  <c r="C704" i="4" a="1"/>
  <c r="E704" i="4" a="1"/>
  <c r="E696" i="4" a="1"/>
  <c r="G696" i="4" a="1"/>
  <c r="C704" i="4" l="1"/>
  <c r="E704" i="4"/>
  <c r="F723" i="4"/>
  <c r="F727" i="4" s="1"/>
  <c r="G759" i="4" s="1"/>
  <c r="G763" i="4" s="1"/>
  <c r="H795" i="4" s="1"/>
  <c r="H799" i="4" s="1"/>
  <c r="E696" i="4"/>
  <c r="G696" i="4"/>
  <c r="BM38" i="3"/>
  <c r="K2243" i="4" s="1" a="1"/>
  <c r="K2243" i="4" s="1"/>
  <c r="K2244" i="4" a="1"/>
  <c r="C705" i="4" a="1"/>
  <c r="E705" i="4" a="1"/>
  <c r="C820" i="4" a="1"/>
  <c r="C820" i="4" l="1"/>
  <c r="E705" i="4"/>
  <c r="C705" i="4"/>
  <c r="B698" i="4"/>
  <c r="E712" i="4" s="1"/>
  <c r="B713" i="4" s="1"/>
  <c r="K2244" i="4"/>
  <c r="B699" i="4" a="1"/>
  <c r="B714" i="4" a="1"/>
  <c r="B707" i="4" l="1"/>
  <c r="B699" i="4"/>
  <c r="C717" i="4"/>
  <c r="B714" i="4"/>
  <c r="I723" i="4" s="1"/>
  <c r="I727" i="4" s="1"/>
  <c r="J759" i="4" s="1"/>
  <c r="J763" i="4" s="1"/>
  <c r="K795" i="4" s="1"/>
  <c r="K799" i="4" s="1"/>
  <c r="L831" i="4" s="1"/>
  <c r="L835" i="4" s="1"/>
  <c r="C839" i="4" s="1"/>
  <c r="E731" i="4" a="1"/>
  <c r="G731" i="4" a="1"/>
  <c r="B708" i="4" a="1"/>
  <c r="C840" i="4" a="1"/>
  <c r="B708" i="4" l="1"/>
  <c r="E717" i="4"/>
  <c r="B719" i="4" s="1"/>
  <c r="E731" i="4"/>
  <c r="G731" i="4"/>
  <c r="C840" i="4"/>
  <c r="E732" i="4" a="1"/>
  <c r="B720" i="4" a="1"/>
  <c r="G732" i="4" a="1"/>
  <c r="B720" i="4" l="1"/>
  <c r="E723" i="4" s="1"/>
  <c r="E727" i="4" s="1"/>
  <c r="E732" i="4"/>
  <c r="G732" i="4"/>
  <c r="C740" i="4" a="1"/>
  <c r="E740" i="4" a="1"/>
  <c r="B734" i="4" l="1"/>
  <c r="C753" i="4" s="1"/>
  <c r="E740" i="4"/>
  <c r="C740" i="4"/>
  <c r="F759" i="4"/>
  <c r="F763" i="4" s="1"/>
  <c r="G795" i="4" s="1"/>
  <c r="G799" i="4" s="1"/>
  <c r="H831" i="4" s="1"/>
  <c r="H835" i="4" s="1"/>
  <c r="B735" i="4" a="1"/>
  <c r="E741" i="4" a="1"/>
  <c r="C856" i="4" a="1"/>
  <c r="C741" i="4" a="1"/>
  <c r="B735" i="4" l="1"/>
  <c r="E748" i="4"/>
  <c r="B749" i="4" s="1"/>
  <c r="C856" i="4"/>
  <c r="C741" i="4"/>
  <c r="E741" i="4"/>
  <c r="B750" i="4" a="1"/>
  <c r="B743" i="4" l="1"/>
  <c r="B750" i="4"/>
  <c r="I759" i="4" s="1"/>
  <c r="I763" i="4" s="1"/>
  <c r="J795" i="4" s="1"/>
  <c r="J799" i="4" s="1"/>
  <c r="K831" i="4" s="1"/>
  <c r="K835" i="4" s="1"/>
  <c r="L867" i="4" s="1"/>
  <c r="L871" i="4" s="1"/>
  <c r="C875" i="4" s="1"/>
  <c r="B744" i="4" a="1"/>
  <c r="C876" i="4" a="1"/>
  <c r="E767" i="4" a="1"/>
  <c r="G767" i="4" a="1"/>
  <c r="B744" i="4" l="1"/>
  <c r="E753" i="4"/>
  <c r="B755" i="4" s="1"/>
  <c r="G767" i="4"/>
  <c r="E767" i="4"/>
  <c r="C876" i="4"/>
  <c r="E768" i="4" a="1"/>
  <c r="G768" i="4" a="1"/>
  <c r="B756" i="4" a="1"/>
  <c r="B756" i="4" l="1"/>
  <c r="E759" i="4" s="1"/>
  <c r="E763" i="4" s="1"/>
  <c r="E768" i="4"/>
  <c r="G768" i="4"/>
  <c r="C776" i="4" a="1"/>
  <c r="E776" i="4" a="1"/>
  <c r="E776" i="4" l="1"/>
  <c r="C776" i="4"/>
  <c r="F795" i="4"/>
  <c r="F799" i="4" s="1"/>
  <c r="G831" i="4" s="1"/>
  <c r="G835" i="4" s="1"/>
  <c r="H867" i="4" s="1"/>
  <c r="H871" i="4" s="1"/>
  <c r="B770" i="4"/>
  <c r="C789" i="4" s="1"/>
  <c r="C892" i="4" a="1"/>
  <c r="E777" i="4" a="1"/>
  <c r="C777" i="4" a="1"/>
  <c r="B771" i="4" a="1"/>
  <c r="E777" i="4" l="1"/>
  <c r="C892" i="4"/>
  <c r="C777" i="4"/>
  <c r="B771" i="4"/>
  <c r="E784" i="4"/>
  <c r="B785" i="4" s="1"/>
  <c r="B786" i="4" a="1"/>
  <c r="B779" i="4" l="1"/>
  <c r="B786" i="4"/>
  <c r="I795" i="4" s="1"/>
  <c r="I799" i="4" s="1"/>
  <c r="J831" i="4" s="1"/>
  <c r="J835" i="4" s="1"/>
  <c r="K867" i="4" s="1"/>
  <c r="K871" i="4" s="1"/>
  <c r="L903" i="4" s="1"/>
  <c r="L907" i="4" s="1"/>
  <c r="C911" i="4" s="1"/>
  <c r="B780" i="4" a="1"/>
  <c r="C912" i="4" a="1"/>
  <c r="G803" i="4" a="1"/>
  <c r="E803" i="4" a="1"/>
  <c r="B780" i="4" l="1"/>
  <c r="E789" i="4"/>
  <c r="B791" i="4" s="1"/>
  <c r="E803" i="4"/>
  <c r="G803" i="4"/>
  <c r="C912" i="4"/>
  <c r="G804" i="4" a="1"/>
  <c r="B792" i="4" a="1"/>
  <c r="E804" i="4" a="1"/>
  <c r="B792" i="4" l="1"/>
  <c r="E795" i="4" s="1"/>
  <c r="E799" i="4" s="1"/>
  <c r="G804" i="4"/>
  <c r="E804" i="4"/>
  <c r="C812" i="4" a="1"/>
  <c r="E812" i="4" a="1"/>
  <c r="C812" i="4" l="1"/>
  <c r="E812" i="4"/>
  <c r="F831" i="4"/>
  <c r="F835" i="4" s="1"/>
  <c r="G867" i="4" s="1"/>
  <c r="G871" i="4" s="1"/>
  <c r="H903" i="4" s="1"/>
  <c r="H907" i="4" s="1"/>
  <c r="B806" i="4"/>
  <c r="E813" i="4" a="1"/>
  <c r="C813" i="4" a="1"/>
  <c r="C928" i="4" a="1"/>
  <c r="B807" i="4" a="1"/>
  <c r="C813" i="4" l="1"/>
  <c r="C928" i="4"/>
  <c r="E813" i="4"/>
  <c r="B807" i="4"/>
  <c r="E820" i="4"/>
  <c r="B821" i="4" s="1"/>
  <c r="C825" i="4"/>
  <c r="B822" i="4" a="1"/>
  <c r="B815" i="4" l="1"/>
  <c r="E825" i="4" s="1"/>
  <c r="B827" i="4" s="1"/>
  <c r="B822" i="4"/>
  <c r="I831" i="4" s="1"/>
  <c r="I835" i="4" s="1"/>
  <c r="B816" i="4" a="1"/>
  <c r="G839" i="4" a="1"/>
  <c r="B828" i="4" a="1"/>
  <c r="E839" i="4" a="1"/>
  <c r="B816" i="4" l="1"/>
  <c r="B828" i="4"/>
  <c r="E831" i="4" s="1"/>
  <c r="E835" i="4" s="1"/>
  <c r="E839" i="4"/>
  <c r="G839" i="4"/>
  <c r="J867" i="4"/>
  <c r="J871" i="4" s="1"/>
  <c r="K903" i="4" s="1"/>
  <c r="K907" i="4" s="1"/>
  <c r="L939" i="4" s="1"/>
  <c r="L943" i="4" s="1"/>
  <c r="C947" i="4" s="1"/>
  <c r="G840" i="4" a="1"/>
  <c r="E840" i="4" a="1"/>
  <c r="E848" i="4" a="1"/>
  <c r="C948" i="4" a="1"/>
  <c r="C848" i="4" a="1"/>
  <c r="C848" i="4" l="1"/>
  <c r="E848" i="4"/>
  <c r="F867" i="4"/>
  <c r="F871" i="4" s="1"/>
  <c r="G903" i="4" s="1"/>
  <c r="G907" i="4" s="1"/>
  <c r="H939" i="4" s="1"/>
  <c r="H943" i="4" s="1"/>
  <c r="G840" i="4"/>
  <c r="E840" i="4"/>
  <c r="C948" i="4"/>
  <c r="E849" i="4" a="1"/>
  <c r="C964" i="4" a="1"/>
  <c r="C849" i="4" a="1"/>
  <c r="C964" i="4" l="1"/>
  <c r="E849" i="4"/>
  <c r="C849" i="4"/>
  <c r="B842" i="4"/>
  <c r="B843" i="4" a="1"/>
  <c r="B851" i="4" l="1"/>
  <c r="E861" i="4" s="1"/>
  <c r="B843" i="4"/>
  <c r="E856" i="4"/>
  <c r="B857" i="4" s="1"/>
  <c r="C861" i="4"/>
  <c r="B858" i="4" a="1"/>
  <c r="B852" i="4" a="1"/>
  <c r="B852" i="4" l="1"/>
  <c r="B863" i="4"/>
  <c r="B858" i="4"/>
  <c r="I867" i="4" s="1"/>
  <c r="I871" i="4" s="1"/>
  <c r="G875" i="4" a="1"/>
  <c r="E875" i="4" a="1"/>
  <c r="B864" i="4" a="1"/>
  <c r="B864" i="4" l="1"/>
  <c r="E867" i="4" s="1"/>
  <c r="E871" i="4" s="1"/>
  <c r="E875" i="4"/>
  <c r="G875" i="4"/>
  <c r="J903" i="4"/>
  <c r="J907" i="4" s="1"/>
  <c r="K939" i="4" s="1"/>
  <c r="K943" i="4" s="1"/>
  <c r="L975" i="4" s="1"/>
  <c r="L979" i="4" s="1"/>
  <c r="C983" i="4" s="1"/>
  <c r="C984" i="4" a="1"/>
  <c r="G876" i="4" a="1"/>
  <c r="E876" i="4" a="1"/>
  <c r="C884" i="4" a="1"/>
  <c r="E884" i="4" a="1"/>
  <c r="C884" i="4" l="1"/>
  <c r="E884" i="4"/>
  <c r="F903" i="4"/>
  <c r="F907" i="4" s="1"/>
  <c r="G939" i="4" s="1"/>
  <c r="G943" i="4" s="1"/>
  <c r="H975" i="4" s="1"/>
  <c r="H979" i="4" s="1"/>
  <c r="C984" i="4"/>
  <c r="G876" i="4"/>
  <c r="E876" i="4"/>
  <c r="E885" i="4" a="1"/>
  <c r="C885" i="4" a="1"/>
  <c r="C1000" i="4" a="1"/>
  <c r="B878" i="4" l="1"/>
  <c r="E892" i="4" s="1"/>
  <c r="B893" i="4" s="1"/>
  <c r="E885" i="4"/>
  <c r="C885" i="4"/>
  <c r="C1000" i="4"/>
  <c r="B894" i="4" a="1"/>
  <c r="B879" i="4" a="1"/>
  <c r="B879" i="4" l="1"/>
  <c r="C897" i="4"/>
  <c r="B887" i="4"/>
  <c r="E897" i="4" s="1"/>
  <c r="B894" i="4"/>
  <c r="I903" i="4" s="1"/>
  <c r="I907" i="4" s="1"/>
  <c r="B888" i="4" a="1"/>
  <c r="E911" i="4" a="1"/>
  <c r="G911" i="4" a="1"/>
  <c r="B899" i="4" l="1"/>
  <c r="B888" i="4"/>
  <c r="G911" i="4"/>
  <c r="E911" i="4"/>
  <c r="J939" i="4"/>
  <c r="J943" i="4" s="1"/>
  <c r="K975" i="4" s="1"/>
  <c r="K979" i="4" s="1"/>
  <c r="L1011" i="4" s="1"/>
  <c r="L1015" i="4" s="1"/>
  <c r="C1019" i="4" s="1"/>
  <c r="E912" i="4" a="1"/>
  <c r="B900" i="4" a="1"/>
  <c r="C1020" i="4" a="1"/>
  <c r="G912" i="4" a="1"/>
  <c r="B900" i="4" l="1"/>
  <c r="E903" i="4" s="1"/>
  <c r="E907" i="4" s="1"/>
  <c r="E912" i="4"/>
  <c r="G912" i="4"/>
  <c r="C1020" i="4"/>
  <c r="C920" i="4" a="1"/>
  <c r="E920" i="4" a="1"/>
  <c r="E920" i="4" l="1"/>
  <c r="C920" i="4"/>
  <c r="F939" i="4"/>
  <c r="F943" i="4" s="1"/>
  <c r="G975" i="4" s="1"/>
  <c r="G979" i="4" s="1"/>
  <c r="H1011" i="4" s="1"/>
  <c r="H1015" i="4" s="1"/>
  <c r="B914" i="4"/>
  <c r="E921" i="4" a="1"/>
  <c r="C1036" i="4" a="1"/>
  <c r="C921" i="4" a="1"/>
  <c r="B915" i="4" a="1"/>
  <c r="C1036" i="4" l="1"/>
  <c r="C921" i="4"/>
  <c r="E921" i="4"/>
  <c r="B915" i="4"/>
  <c r="E928" i="4"/>
  <c r="B929" i="4" s="1"/>
  <c r="C933" i="4"/>
  <c r="B930" i="4" a="1"/>
  <c r="B923" i="4" l="1"/>
  <c r="B930" i="4"/>
  <c r="I939" i="4" s="1"/>
  <c r="I943" i="4" s="1"/>
  <c r="E947" i="4" a="1"/>
  <c r="B924" i="4" a="1"/>
  <c r="G947" i="4" a="1"/>
  <c r="B924" i="4" l="1"/>
  <c r="E933" i="4"/>
  <c r="B935" i="4" s="1"/>
  <c r="G947" i="4"/>
  <c r="E947" i="4"/>
  <c r="J975" i="4"/>
  <c r="J979" i="4" s="1"/>
  <c r="K1011" i="4" s="1"/>
  <c r="K1015" i="4" s="1"/>
  <c r="L1047" i="4" s="1"/>
  <c r="L1051" i="4" s="1"/>
  <c r="C1055" i="4" s="1"/>
  <c r="G948" i="4" a="1"/>
  <c r="B936" i="4" a="1"/>
  <c r="E948" i="4" a="1"/>
  <c r="C1056" i="4" a="1"/>
  <c r="B936" i="4" l="1"/>
  <c r="E939" i="4" s="1"/>
  <c r="E943" i="4" s="1"/>
  <c r="G948" i="4"/>
  <c r="C1056" i="4"/>
  <c r="E948" i="4"/>
  <c r="C956" i="4" a="1"/>
  <c r="E956" i="4" a="1"/>
  <c r="E956" i="4" l="1"/>
  <c r="C956" i="4"/>
  <c r="F975" i="4"/>
  <c r="F979" i="4" s="1"/>
  <c r="G1011" i="4" s="1"/>
  <c r="G1015" i="4" s="1"/>
  <c r="H1047" i="4" s="1"/>
  <c r="H1051" i="4" s="1"/>
  <c r="B950" i="4"/>
  <c r="C957" i="4" a="1"/>
  <c r="E957" i="4" a="1"/>
  <c r="B951" i="4" a="1"/>
  <c r="C1072" i="4" a="1"/>
  <c r="C957" i="4" l="1"/>
  <c r="E957" i="4"/>
  <c r="C1072" i="4"/>
  <c r="B951" i="4"/>
  <c r="E964" i="4"/>
  <c r="B965" i="4" s="1"/>
  <c r="C969" i="4"/>
  <c r="B966" i="4" a="1"/>
  <c r="B959" i="4" l="1"/>
  <c r="E969" i="4" s="1"/>
  <c r="B971" i="4" s="1"/>
  <c r="B966" i="4"/>
  <c r="I975" i="4" s="1"/>
  <c r="I979" i="4" s="1"/>
  <c r="E983" i="4" a="1"/>
  <c r="B960" i="4" a="1"/>
  <c r="B972" i="4" a="1"/>
  <c r="G983" i="4" a="1"/>
  <c r="B960" i="4" l="1"/>
  <c r="E983" i="4"/>
  <c r="G983" i="4"/>
  <c r="B972" i="4"/>
  <c r="E975" i="4" s="1"/>
  <c r="E979" i="4" s="1"/>
  <c r="J1011" i="4"/>
  <c r="J1015" i="4" s="1"/>
  <c r="K1047" i="4" s="1"/>
  <c r="K1051" i="4" s="1"/>
  <c r="L1083" i="4" s="1"/>
  <c r="L1087" i="4" s="1"/>
  <c r="C1091" i="4" s="1"/>
  <c r="E992" i="4" a="1"/>
  <c r="C992" i="4" a="1"/>
  <c r="E984" i="4" a="1"/>
  <c r="C1092" i="4" a="1"/>
  <c r="G984" i="4" a="1"/>
  <c r="C1092" i="4" l="1"/>
  <c r="C992" i="4"/>
  <c r="E992" i="4"/>
  <c r="G984" i="4"/>
  <c r="E984" i="4"/>
  <c r="F1011" i="4"/>
  <c r="F1015" i="4" s="1"/>
  <c r="G1047" i="4" s="1"/>
  <c r="G1051" i="4" s="1"/>
  <c r="H1083" i="4" s="1"/>
  <c r="H1087" i="4" s="1"/>
  <c r="E993" i="4" a="1"/>
  <c r="C1108" i="4" a="1"/>
  <c r="C993" i="4" a="1"/>
  <c r="B986" i="4" l="1"/>
  <c r="C1108" i="4"/>
  <c r="E993" i="4"/>
  <c r="C993" i="4"/>
  <c r="B987" i="4" a="1"/>
  <c r="B987" i="4" l="1"/>
  <c r="C1005" i="4"/>
  <c r="E1000" i="4"/>
  <c r="B1001" i="4" s="1"/>
  <c r="B995" i="4"/>
  <c r="E1005" i="4" s="1"/>
  <c r="B1007" i="4" s="1"/>
  <c r="B996" i="4" a="1"/>
  <c r="B1002" i="4" a="1"/>
  <c r="B1008" i="4" a="1"/>
  <c r="B1002" i="4" l="1"/>
  <c r="I1011" i="4" s="1"/>
  <c r="I1015" i="4" s="1"/>
  <c r="J1047" i="4" s="1"/>
  <c r="J1051" i="4" s="1"/>
  <c r="K1083" i="4" s="1"/>
  <c r="K1087" i="4" s="1"/>
  <c r="L1119" i="4" s="1"/>
  <c r="L1123" i="4" s="1"/>
  <c r="C1127" i="4" s="1"/>
  <c r="B996" i="4"/>
  <c r="B1008" i="4"/>
  <c r="E1011" i="4" s="1"/>
  <c r="E1015" i="4" s="1"/>
  <c r="E1019" i="4" a="1"/>
  <c r="E1028" i="4" a="1"/>
  <c r="G1019" i="4" a="1"/>
  <c r="C1028" i="4" a="1"/>
  <c r="C1128" i="4" a="1"/>
  <c r="E1019" i="4" l="1"/>
  <c r="G1019" i="4"/>
  <c r="C1128" i="4"/>
  <c r="C1028" i="4"/>
  <c r="E1028" i="4"/>
  <c r="F1047" i="4"/>
  <c r="F1051" i="4" s="1"/>
  <c r="G1083" i="4" s="1"/>
  <c r="G1087" i="4" s="1"/>
  <c r="H1119" i="4" s="1"/>
  <c r="H1123" i="4" s="1"/>
  <c r="C1144" i="4" a="1"/>
  <c r="G1020" i="4" a="1"/>
  <c r="E1029" i="4" a="1"/>
  <c r="E1020" i="4" a="1"/>
  <c r="C1029" i="4" a="1"/>
  <c r="E1020" i="4" l="1"/>
  <c r="G1020" i="4"/>
  <c r="C1144" i="4"/>
  <c r="E1029" i="4"/>
  <c r="C1029" i="4"/>
  <c r="B1022" i="4" l="1"/>
  <c r="B1031" i="4"/>
  <c r="B1023" i="4" a="1"/>
  <c r="B1032" i="4" a="1"/>
  <c r="B1023" i="4" l="1"/>
  <c r="E1036" i="4"/>
  <c r="B1037" i="4" s="1"/>
  <c r="C1041" i="4"/>
  <c r="B1032" i="4"/>
  <c r="E1041" i="4"/>
  <c r="B1038" i="4" a="1"/>
  <c r="B1043" i="4" l="1"/>
  <c r="B1038" i="4"/>
  <c r="I1047" i="4" s="1"/>
  <c r="I1051" i="4" s="1"/>
  <c r="J1083" i="4" s="1"/>
  <c r="J1087" i="4" s="1"/>
  <c r="K1119" i="4" s="1"/>
  <c r="K1123" i="4" s="1"/>
  <c r="L1155" i="4" s="1"/>
  <c r="L1159" i="4" s="1"/>
  <c r="C1163" i="4" s="1"/>
  <c r="C1164" i="4" a="1"/>
  <c r="B1044" i="4" a="1"/>
  <c r="E1055" i="4" a="1"/>
  <c r="G1055" i="4" a="1"/>
  <c r="B1044" i="4" l="1"/>
  <c r="E1047" i="4" s="1"/>
  <c r="E1051" i="4" s="1"/>
  <c r="F1083" i="4" s="1"/>
  <c r="F1087" i="4" s="1"/>
  <c r="G1119" i="4" s="1"/>
  <c r="G1123" i="4" s="1"/>
  <c r="H1155" i="4" s="1"/>
  <c r="H1159" i="4" s="1"/>
  <c r="G1055" i="4"/>
  <c r="E1055" i="4"/>
  <c r="C1164" i="4"/>
  <c r="E1064" i="4" a="1"/>
  <c r="E1056" i="4" a="1"/>
  <c r="C1180" i="4" a="1"/>
  <c r="G1056" i="4" a="1"/>
  <c r="C1064" i="4" a="1"/>
  <c r="C1064" i="4" l="1"/>
  <c r="E1064" i="4"/>
  <c r="G1056" i="4"/>
  <c r="E1056" i="4"/>
  <c r="B1058" i="4" s="1"/>
  <c r="E1072" i="4" s="1"/>
  <c r="B1073" i="4" s="1"/>
  <c r="C1180" i="4"/>
  <c r="E1065" i="4" a="1"/>
  <c r="B1074" i="4" a="1"/>
  <c r="C1065" i="4" a="1"/>
  <c r="B1059" i="4" a="1"/>
  <c r="E1065" i="4" l="1"/>
  <c r="C1065" i="4"/>
  <c r="B1059" i="4"/>
  <c r="C1077" i="4"/>
  <c r="B1074" i="4"/>
  <c r="I1083" i="4" s="1"/>
  <c r="I1087" i="4" s="1"/>
  <c r="E1091" i="4" a="1"/>
  <c r="G1091" i="4" a="1"/>
  <c r="B1067" i="4" l="1"/>
  <c r="E1091" i="4"/>
  <c r="G1091" i="4"/>
  <c r="J1119" i="4"/>
  <c r="J1123" i="4" s="1"/>
  <c r="K1155" i="4" s="1"/>
  <c r="K1159" i="4" s="1"/>
  <c r="L1191" i="4" s="1"/>
  <c r="L1195" i="4" s="1"/>
  <c r="C1199" i="4" s="1"/>
  <c r="G1092" i="4" a="1"/>
  <c r="B1068" i="4" a="1"/>
  <c r="C1200" i="4" a="1"/>
  <c r="E1092" i="4" a="1"/>
  <c r="B1068" i="4" l="1"/>
  <c r="E1077" i="4"/>
  <c r="B1079" i="4" s="1"/>
  <c r="E1092" i="4"/>
  <c r="C1200" i="4"/>
  <c r="G1092" i="4"/>
  <c r="B1080" i="4" a="1"/>
  <c r="B1080" i="4" l="1"/>
  <c r="E1083" i="4" s="1"/>
  <c r="E1087" i="4" s="1"/>
  <c r="B1094" i="4"/>
  <c r="E1108" i="4" s="1"/>
  <c r="B1109" i="4" s="1"/>
  <c r="E1100" i="4" a="1"/>
  <c r="C1100" i="4" a="1"/>
  <c r="B1095" i="4" a="1"/>
  <c r="B1110" i="4" a="1"/>
  <c r="C1100" i="4" l="1"/>
  <c r="E1100" i="4"/>
  <c r="F1119" i="4"/>
  <c r="F1123" i="4" s="1"/>
  <c r="G1155" i="4" s="1"/>
  <c r="G1159" i="4" s="1"/>
  <c r="H1191" i="4" s="1"/>
  <c r="H1195" i="4" s="1"/>
  <c r="B1095" i="4"/>
  <c r="C1113" i="4"/>
  <c r="B1110" i="4"/>
  <c r="I1119" i="4" s="1"/>
  <c r="I1123" i="4" s="1"/>
  <c r="J1155" i="4" s="1"/>
  <c r="J1159" i="4" s="1"/>
  <c r="K1191" i="4" s="1"/>
  <c r="K1195" i="4" s="1"/>
  <c r="L1227" i="4" s="1"/>
  <c r="L1231" i="4" s="1"/>
  <c r="C1235" i="4" s="1"/>
  <c r="C1216" i="4" a="1"/>
  <c r="C1101" i="4" a="1"/>
  <c r="E1101" i="4" a="1"/>
  <c r="C1236" i="4" a="1"/>
  <c r="E1127" i="4" a="1"/>
  <c r="G1127" i="4" a="1"/>
  <c r="C1216" i="4" l="1"/>
  <c r="E1101" i="4"/>
  <c r="C1101" i="4"/>
  <c r="E1127" i="4"/>
  <c r="G1127" i="4"/>
  <c r="C1236" i="4"/>
  <c r="E1128" i="4" a="1"/>
  <c r="G1128" i="4" a="1"/>
  <c r="B1103" i="4" l="1"/>
  <c r="G1128" i="4"/>
  <c r="E1128" i="4"/>
  <c r="B1104" i="4" a="1"/>
  <c r="B1104" i="4" l="1"/>
  <c r="E1113" i="4"/>
  <c r="B1115" i="4" s="1"/>
  <c r="B1130" i="4"/>
  <c r="E1144" i="4" s="1"/>
  <c r="B1145" i="4" s="1"/>
  <c r="B1116" i="4" a="1"/>
  <c r="B1146" i="4" a="1"/>
  <c r="B1131" i="4" a="1"/>
  <c r="B1116" i="4" l="1"/>
  <c r="E1119" i="4" s="1"/>
  <c r="E1123" i="4" s="1"/>
  <c r="B1131" i="4"/>
  <c r="C1149" i="4"/>
  <c r="B1146" i="4"/>
  <c r="I1155" i="4" s="1"/>
  <c r="I1159" i="4" s="1"/>
  <c r="J1191" i="4" s="1"/>
  <c r="J1195" i="4" s="1"/>
  <c r="K1227" i="4" s="1"/>
  <c r="K1231" i="4" s="1"/>
  <c r="L1263" i="4" s="1"/>
  <c r="L1267" i="4" s="1"/>
  <c r="C1271" i="4" s="1"/>
  <c r="C1136" i="4" a="1"/>
  <c r="G1163" i="4" a="1"/>
  <c r="C1272" i="4" a="1"/>
  <c r="E1163" i="4" a="1"/>
  <c r="E1136" i="4" a="1"/>
  <c r="C1136" i="4" l="1"/>
  <c r="E1136" i="4"/>
  <c r="F1155" i="4"/>
  <c r="F1159" i="4" s="1"/>
  <c r="G1191" i="4" s="1"/>
  <c r="G1195" i="4" s="1"/>
  <c r="H1227" i="4" s="1"/>
  <c r="H1231" i="4" s="1"/>
  <c r="E1163" i="4"/>
  <c r="G1163" i="4"/>
  <c r="C1272" i="4"/>
  <c r="C1252" i="4" a="1"/>
  <c r="E1137" i="4" a="1"/>
  <c r="E1164" i="4" a="1"/>
  <c r="G1164" i="4" a="1"/>
  <c r="C1137" i="4" a="1"/>
  <c r="E1137" i="4" l="1"/>
  <c r="C1137" i="4"/>
  <c r="C1252" i="4"/>
  <c r="E1164" i="4"/>
  <c r="G1164" i="4"/>
  <c r="B1139" i="4" l="1"/>
  <c r="B1166" i="4"/>
  <c r="B1167" i="4" a="1"/>
  <c r="B1140" i="4" a="1"/>
  <c r="B1140" i="4" l="1"/>
  <c r="E1149" i="4"/>
  <c r="B1151" i="4" s="1"/>
  <c r="B1167" i="4"/>
  <c r="C1185" i="4"/>
  <c r="E1180" i="4"/>
  <c r="B1181" i="4" s="1"/>
  <c r="B1152" i="4" a="1"/>
  <c r="B1182" i="4" a="1"/>
  <c r="B1152" i="4" l="1"/>
  <c r="E1155" i="4" s="1"/>
  <c r="E1159" i="4" s="1"/>
  <c r="F1191" i="4" s="1"/>
  <c r="F1195" i="4" s="1"/>
  <c r="G1227" i="4" s="1"/>
  <c r="G1231" i="4" s="1"/>
  <c r="H1263" i="4" s="1"/>
  <c r="H1267" i="4" s="1"/>
  <c r="B1182" i="4"/>
  <c r="I1191" i="4" s="1"/>
  <c r="I1195" i="4" s="1"/>
  <c r="E1172" i="4" a="1"/>
  <c r="C1288" i="4" a="1"/>
  <c r="C1172" i="4" a="1"/>
  <c r="E1199" i="4" a="1"/>
  <c r="G1199" i="4" a="1"/>
  <c r="C1172" i="4" l="1"/>
  <c r="E1172" i="4"/>
  <c r="C1288" i="4"/>
  <c r="G1199" i="4"/>
  <c r="E1199" i="4"/>
  <c r="J1227" i="4"/>
  <c r="J1231" i="4" s="1"/>
  <c r="K1263" i="4" s="1"/>
  <c r="K1267" i="4" s="1"/>
  <c r="L1299" i="4" s="1"/>
  <c r="L1303" i="4" s="1"/>
  <c r="C1307" i="4" s="1"/>
  <c r="C1173" i="4" a="1"/>
  <c r="E1173" i="4" a="1"/>
  <c r="G1200" i="4" a="1"/>
  <c r="C1308" i="4" a="1"/>
  <c r="E1200" i="4" a="1"/>
  <c r="E1173" i="4" l="1"/>
  <c r="C1173" i="4"/>
  <c r="G1200" i="4"/>
  <c r="C1308" i="4"/>
  <c r="E1200" i="4"/>
  <c r="B1175" i="4" l="1"/>
  <c r="B1202" i="4"/>
  <c r="C1221" i="4" s="1"/>
  <c r="B1203" i="4" a="1"/>
  <c r="B1176" i="4" a="1"/>
  <c r="B1176" i="4" l="1"/>
  <c r="E1185" i="4"/>
  <c r="B1187" i="4" s="1"/>
  <c r="B1203" i="4"/>
  <c r="E1216" i="4"/>
  <c r="B1217" i="4" s="1"/>
  <c r="B1188" i="4" a="1"/>
  <c r="B1218" i="4" a="1"/>
  <c r="B1188" i="4" l="1"/>
  <c r="E1191" i="4" s="1"/>
  <c r="E1195" i="4" s="1"/>
  <c r="B1218" i="4"/>
  <c r="I1227" i="4" s="1"/>
  <c r="I1231" i="4" s="1"/>
  <c r="E1235" i="4" a="1"/>
  <c r="G1235" i="4" a="1"/>
  <c r="C1208" i="4" a="1"/>
  <c r="E1208" i="4" a="1"/>
  <c r="E1208" i="4" l="1"/>
  <c r="C1208" i="4"/>
  <c r="F1227" i="4"/>
  <c r="F1231" i="4" s="1"/>
  <c r="G1263" i="4" s="1"/>
  <c r="G1267" i="4" s="1"/>
  <c r="H1299" i="4" s="1"/>
  <c r="H1303" i="4" s="1"/>
  <c r="G1235" i="4"/>
  <c r="E1235" i="4"/>
  <c r="J1263" i="4"/>
  <c r="J1267" i="4" s="1"/>
  <c r="K1299" i="4" s="1"/>
  <c r="K1303" i="4" s="1"/>
  <c r="L1335" i="4" s="1"/>
  <c r="L1339" i="4" s="1"/>
  <c r="C1343" i="4" s="1"/>
  <c r="C1324" i="4" a="1"/>
  <c r="C1209" i="4" a="1"/>
  <c r="G1236" i="4" a="1"/>
  <c r="E1209" i="4" a="1"/>
  <c r="C1344" i="4" a="1"/>
  <c r="E1236" i="4" a="1"/>
  <c r="C1324" i="4" l="1"/>
  <c r="C1209" i="4"/>
  <c r="E1209" i="4"/>
  <c r="C1344" i="4"/>
  <c r="E1236" i="4"/>
  <c r="G1236" i="4"/>
  <c r="B1211" i="4" l="1"/>
  <c r="B1238" i="4"/>
  <c r="B1212" i="4" a="1"/>
  <c r="B1239" i="4" a="1"/>
  <c r="B1212" i="4" l="1"/>
  <c r="E1221" i="4"/>
  <c r="B1223" i="4" s="1"/>
  <c r="B1239" i="4"/>
  <c r="E1252" i="4"/>
  <c r="B1253" i="4" s="1"/>
  <c r="C1257" i="4"/>
  <c r="B1224" i="4" a="1"/>
  <c r="B1254" i="4" a="1"/>
  <c r="B1224" i="4" l="1"/>
  <c r="E1227" i="4" s="1"/>
  <c r="E1231" i="4" s="1"/>
  <c r="B1254" i="4"/>
  <c r="I1263" i="4" s="1"/>
  <c r="I1267" i="4" s="1"/>
  <c r="G1271" i="4" a="1"/>
  <c r="E1271" i="4" a="1"/>
  <c r="E1244" i="4" a="1"/>
  <c r="C1244" i="4" a="1"/>
  <c r="E1244" i="4" l="1"/>
  <c r="C1244" i="4"/>
  <c r="F1263" i="4"/>
  <c r="F1267" i="4" s="1"/>
  <c r="G1299" i="4" s="1"/>
  <c r="G1303" i="4" s="1"/>
  <c r="H1335" i="4" s="1"/>
  <c r="H1339" i="4" s="1"/>
  <c r="E1271" i="4"/>
  <c r="G1271" i="4"/>
  <c r="J1299" i="4"/>
  <c r="J1303" i="4" s="1"/>
  <c r="K1335" i="4" s="1"/>
  <c r="K1339" i="4" s="1"/>
  <c r="L1371" i="4" s="1"/>
  <c r="L1375" i="4" s="1"/>
  <c r="C1379" i="4" s="1"/>
  <c r="G1272" i="4" a="1"/>
  <c r="C1245" i="4" a="1"/>
  <c r="E1245" i="4" a="1"/>
  <c r="C1360" i="4" a="1"/>
  <c r="C1380" i="4" a="1"/>
  <c r="E1272" i="4" a="1"/>
  <c r="C1360" i="4" l="1"/>
  <c r="C1245" i="4"/>
  <c r="E1245" i="4"/>
  <c r="E1272" i="4"/>
  <c r="C1380" i="4"/>
  <c r="G1272" i="4"/>
  <c r="B1247" i="4" l="1"/>
  <c r="E1257" i="4" s="1"/>
  <c r="B1259" i="4" s="1"/>
  <c r="B1274" i="4"/>
  <c r="C1293" i="4" s="1"/>
  <c r="B1248" i="4" a="1"/>
  <c r="B1260" i="4" a="1"/>
  <c r="B1275" i="4" a="1"/>
  <c r="B1248" i="4" l="1"/>
  <c r="B1260" i="4"/>
  <c r="E1263" i="4" s="1"/>
  <c r="E1267" i="4" s="1"/>
  <c r="B1275" i="4"/>
  <c r="E1288" i="4"/>
  <c r="B1289" i="4" s="1"/>
  <c r="C1280" i="4" a="1"/>
  <c r="B1290" i="4" a="1"/>
  <c r="E1280" i="4" a="1"/>
  <c r="E1280" i="4" l="1"/>
  <c r="C1280" i="4"/>
  <c r="F1299" i="4"/>
  <c r="F1303" i="4" s="1"/>
  <c r="G1335" i="4" s="1"/>
  <c r="G1339" i="4" s="1"/>
  <c r="H1371" i="4" s="1"/>
  <c r="H1375" i="4" s="1"/>
  <c r="B1290" i="4"/>
  <c r="I1299" i="4" s="1"/>
  <c r="I1303" i="4" s="1"/>
  <c r="J1335" i="4" s="1"/>
  <c r="J1339" i="4" s="1"/>
  <c r="K1371" i="4" s="1"/>
  <c r="K1375" i="4" s="1"/>
  <c r="L1407" i="4" s="1"/>
  <c r="L1411" i="4" s="1"/>
  <c r="C1415" i="4" s="1"/>
  <c r="E1281" i="4" a="1"/>
  <c r="C1396" i="4" a="1"/>
  <c r="G1307" i="4" a="1"/>
  <c r="C1281" i="4" a="1"/>
  <c r="E1307" i="4" a="1"/>
  <c r="C1416" i="4" a="1"/>
  <c r="C1396" i="4" l="1"/>
  <c r="C1281" i="4"/>
  <c r="E1281" i="4"/>
  <c r="E1307" i="4"/>
  <c r="G1307" i="4"/>
  <c r="C1416" i="4"/>
  <c r="G1308" i="4" a="1"/>
  <c r="E1308" i="4" a="1"/>
  <c r="B1283" i="4" l="1"/>
  <c r="G1308" i="4"/>
  <c r="E1308" i="4"/>
  <c r="B1284" i="4" a="1"/>
  <c r="B1284" i="4" l="1"/>
  <c r="E1293" i="4"/>
  <c r="B1295" i="4" s="1"/>
  <c r="B1310" i="4"/>
  <c r="E1324" i="4" s="1"/>
  <c r="B1325" i="4" s="1"/>
  <c r="B1296" i="4" a="1"/>
  <c r="B1326" i="4" a="1"/>
  <c r="B1311" i="4" a="1"/>
  <c r="B1296" i="4" l="1"/>
  <c r="E1299" i="4" s="1"/>
  <c r="E1303" i="4" s="1"/>
  <c r="B1311" i="4"/>
  <c r="C1329" i="4"/>
  <c r="B1326" i="4"/>
  <c r="I1335" i="4" s="1"/>
  <c r="I1339" i="4" s="1"/>
  <c r="C1316" i="4" a="1"/>
  <c r="E1316" i="4" a="1"/>
  <c r="E1343" i="4" a="1"/>
  <c r="G1343" i="4" a="1"/>
  <c r="E1316" i="4" l="1"/>
  <c r="C1316" i="4"/>
  <c r="F1335" i="4"/>
  <c r="F1339" i="4" s="1"/>
  <c r="G1371" i="4" s="1"/>
  <c r="G1375" i="4" s="1"/>
  <c r="H1407" i="4" s="1"/>
  <c r="H1411" i="4" s="1"/>
  <c r="E1343" i="4"/>
  <c r="G1343" i="4"/>
  <c r="J1371" i="4"/>
  <c r="J1375" i="4" s="1"/>
  <c r="K1407" i="4" s="1"/>
  <c r="K1411" i="4" s="1"/>
  <c r="L1443" i="4" s="1"/>
  <c r="L1447" i="4" s="1"/>
  <c r="C1451" i="4" s="1"/>
  <c r="C1432" i="4" a="1"/>
  <c r="G1344" i="4" a="1"/>
  <c r="C1317" i="4" a="1"/>
  <c r="E1344" i="4" a="1"/>
  <c r="E1317" i="4" a="1"/>
  <c r="C1452" i="4" a="1"/>
  <c r="E1317" i="4" l="1"/>
  <c r="C1432" i="4"/>
  <c r="C1317" i="4"/>
  <c r="E1344" i="4"/>
  <c r="C1452" i="4"/>
  <c r="G1344" i="4"/>
  <c r="B1319" i="4" l="1"/>
  <c r="B1346" i="4"/>
  <c r="C1365" i="4" s="1"/>
  <c r="B1347" i="4" a="1"/>
  <c r="B1320" i="4" a="1"/>
  <c r="B1320" i="4" l="1"/>
  <c r="E1329" i="4"/>
  <c r="B1331" i="4" s="1"/>
  <c r="B1347" i="4"/>
  <c r="E1360" i="4"/>
  <c r="B1361" i="4" s="1"/>
  <c r="B1332" i="4" a="1"/>
  <c r="B1362" i="4" a="1"/>
  <c r="B1332" i="4" l="1"/>
  <c r="E1335" i="4" s="1"/>
  <c r="E1339" i="4" s="1"/>
  <c r="B1362" i="4"/>
  <c r="I1371" i="4" s="1"/>
  <c r="I1375" i="4" s="1"/>
  <c r="J1407" i="4" s="1"/>
  <c r="J1411" i="4" s="1"/>
  <c r="K1443" i="4" s="1"/>
  <c r="K1447" i="4" s="1"/>
  <c r="L1479" i="4" s="1"/>
  <c r="L1483" i="4" s="1"/>
  <c r="C1487" i="4" s="1"/>
  <c r="C1352" i="4" a="1"/>
  <c r="G1379" i="4" a="1"/>
  <c r="E1379" i="4" a="1"/>
  <c r="E1352" i="4" a="1"/>
  <c r="C1488" i="4" a="1"/>
  <c r="C1352" i="4" l="1"/>
  <c r="E1352" i="4"/>
  <c r="F1371" i="4"/>
  <c r="F1375" i="4" s="1"/>
  <c r="G1407" i="4" s="1"/>
  <c r="G1411" i="4" s="1"/>
  <c r="H1443" i="4" s="1"/>
  <c r="H1447" i="4" s="1"/>
  <c r="G1379" i="4"/>
  <c r="E1379" i="4"/>
  <c r="C1488" i="4"/>
  <c r="E1380" i="4" a="1"/>
  <c r="C1468" i="4" a="1"/>
  <c r="E1353" i="4" a="1"/>
  <c r="C1353" i="4" a="1"/>
  <c r="G1380" i="4" a="1"/>
  <c r="C1468" i="4" l="1"/>
  <c r="E1353" i="4"/>
  <c r="C1353" i="4"/>
  <c r="E1380" i="4"/>
  <c r="G1380" i="4"/>
  <c r="B1355" i="4" l="1"/>
  <c r="B1382" i="4"/>
  <c r="E1396" i="4" s="1"/>
  <c r="B1397" i="4" s="1"/>
  <c r="B1356" i="4" a="1"/>
  <c r="B1383" i="4" a="1"/>
  <c r="B1398" i="4" a="1"/>
  <c r="B1356" i="4" l="1"/>
  <c r="E1365" i="4"/>
  <c r="B1367" i="4" s="1"/>
  <c r="B1383" i="4"/>
  <c r="C1401" i="4"/>
  <c r="B1398" i="4"/>
  <c r="I1407" i="4" s="1"/>
  <c r="I1411" i="4" s="1"/>
  <c r="E1415" i="4" a="1"/>
  <c r="B1368" i="4" a="1"/>
  <c r="G1415" i="4" a="1"/>
  <c r="B1368" i="4" l="1"/>
  <c r="E1371" i="4" s="1"/>
  <c r="E1375" i="4" s="1"/>
  <c r="E1415" i="4"/>
  <c r="G1415" i="4"/>
  <c r="J1443" i="4"/>
  <c r="J1447" i="4" s="1"/>
  <c r="K1479" i="4" s="1"/>
  <c r="K1483" i="4" s="1"/>
  <c r="L1515" i="4" s="1"/>
  <c r="L1519" i="4" s="1"/>
  <c r="C1523" i="4" s="1"/>
  <c r="E1388" i="4" a="1"/>
  <c r="G1416" i="4" a="1"/>
  <c r="E1416" i="4" a="1"/>
  <c r="C1388" i="4" a="1"/>
  <c r="C1524" i="4" a="1"/>
  <c r="C1388" i="4" l="1"/>
  <c r="E1388" i="4"/>
  <c r="F1407" i="4"/>
  <c r="F1411" i="4" s="1"/>
  <c r="G1443" i="4" s="1"/>
  <c r="G1447" i="4" s="1"/>
  <c r="H1479" i="4" s="1"/>
  <c r="H1483" i="4" s="1"/>
  <c r="C1524" i="4"/>
  <c r="G1416" i="4"/>
  <c r="E1416" i="4"/>
  <c r="C1504" i="4" a="1"/>
  <c r="C1389" i="4" a="1"/>
  <c r="E1389" i="4" a="1"/>
  <c r="E1389" i="4" l="1"/>
  <c r="C1389" i="4"/>
  <c r="C1504" i="4"/>
  <c r="B1418" i="4"/>
  <c r="C1437" i="4" s="1"/>
  <c r="B1419" i="4" a="1"/>
  <c r="B1391" i="4" l="1"/>
  <c r="B1419" i="4"/>
  <c r="E1432" i="4"/>
  <c r="B1433" i="4" s="1"/>
  <c r="B1392" i="4" a="1"/>
  <c r="B1434" i="4" a="1"/>
  <c r="B1392" i="4" l="1"/>
  <c r="E1401" i="4"/>
  <c r="B1403" i="4" s="1"/>
  <c r="B1434" i="4"/>
  <c r="I1443" i="4" s="1"/>
  <c r="I1447" i="4" s="1"/>
  <c r="B1404" i="4" a="1"/>
  <c r="G1451" i="4" a="1"/>
  <c r="E1451" i="4" a="1"/>
  <c r="B1404" i="4" l="1"/>
  <c r="E1407" i="4" s="1"/>
  <c r="E1411" i="4" s="1"/>
  <c r="F1443" i="4" s="1"/>
  <c r="F1447" i="4" s="1"/>
  <c r="G1479" i="4" s="1"/>
  <c r="G1483" i="4" s="1"/>
  <c r="H1515" i="4" s="1"/>
  <c r="H1519" i="4" s="1"/>
  <c r="G1451" i="4"/>
  <c r="E1451" i="4"/>
  <c r="J1479" i="4"/>
  <c r="J1483" i="4" s="1"/>
  <c r="K1515" i="4" s="1"/>
  <c r="K1519" i="4" s="1"/>
  <c r="L1551" i="4" s="1"/>
  <c r="L1555" i="4" s="1"/>
  <c r="C1559" i="4" s="1"/>
  <c r="C1560" i="4" a="1"/>
  <c r="C1424" i="4" a="1"/>
  <c r="E1424" i="4" a="1"/>
  <c r="C1540" i="4" a="1"/>
  <c r="E1452" i="4" a="1"/>
  <c r="G1452" i="4" a="1"/>
  <c r="E1424" i="4" l="1"/>
  <c r="C1424" i="4"/>
  <c r="C1540" i="4"/>
  <c r="C1560" i="4"/>
  <c r="E1452" i="4"/>
  <c r="G1452" i="4"/>
  <c r="C1425" i="4" a="1"/>
  <c r="E1425" i="4" a="1"/>
  <c r="E1425" i="4" l="1"/>
  <c r="C1425" i="4"/>
  <c r="B1454" i="4"/>
  <c r="E1468" i="4" s="1"/>
  <c r="B1469" i="4" s="1"/>
  <c r="B1455" i="4" a="1"/>
  <c r="B1470" i="4" a="1"/>
  <c r="B1427" i="4" l="1"/>
  <c r="B1455" i="4"/>
  <c r="C1473" i="4"/>
  <c r="B1470" i="4"/>
  <c r="I1479" i="4" s="1"/>
  <c r="I1483" i="4" s="1"/>
  <c r="E1487" i="4" a="1"/>
  <c r="B1428" i="4" a="1"/>
  <c r="G1487" i="4" a="1"/>
  <c r="B1428" i="4" l="1"/>
  <c r="E1437" i="4"/>
  <c r="B1439" i="4" s="1"/>
  <c r="E1487" i="4"/>
  <c r="G1487" i="4"/>
  <c r="J1515" i="4"/>
  <c r="J1519" i="4" s="1"/>
  <c r="K1551" i="4" s="1"/>
  <c r="K1555" i="4" s="1"/>
  <c r="L1587" i="4" s="1"/>
  <c r="L1591" i="4" s="1"/>
  <c r="C1595" i="4" s="1"/>
  <c r="B1440" i="4" a="1"/>
  <c r="G1488" i="4" a="1"/>
  <c r="C1596" i="4" a="1"/>
  <c r="E1488" i="4" a="1"/>
  <c r="B1440" i="4" l="1"/>
  <c r="E1443" i="4" s="1"/>
  <c r="E1447" i="4" s="1"/>
  <c r="C1596" i="4"/>
  <c r="G1488" i="4"/>
  <c r="E1488" i="4"/>
  <c r="B1490" i="4" s="1"/>
  <c r="E1504" i="4" s="1"/>
  <c r="B1505" i="4" s="1"/>
  <c r="B1491" i="4" a="1"/>
  <c r="E1460" i="4" a="1"/>
  <c r="C1460" i="4" a="1"/>
  <c r="B1506" i="4" a="1"/>
  <c r="E1460" i="4" l="1"/>
  <c r="C1460" i="4"/>
  <c r="F1479" i="4"/>
  <c r="F1483" i="4" s="1"/>
  <c r="G1515" i="4" s="1"/>
  <c r="G1519" i="4" s="1"/>
  <c r="H1551" i="4" s="1"/>
  <c r="H1555" i="4" s="1"/>
  <c r="B1491" i="4"/>
  <c r="C1509" i="4"/>
  <c r="B1506" i="4"/>
  <c r="I1515" i="4" s="1"/>
  <c r="I1519" i="4" s="1"/>
  <c r="J1551" i="4" s="1"/>
  <c r="J1555" i="4" s="1"/>
  <c r="K1587" i="4" s="1"/>
  <c r="K1591" i="4" s="1"/>
  <c r="L1623" i="4" s="1"/>
  <c r="L1627" i="4" s="1"/>
  <c r="C1631" i="4" s="1"/>
  <c r="E1461" i="4" a="1"/>
  <c r="C1461" i="4" a="1"/>
  <c r="C1576" i="4" a="1"/>
  <c r="G1523" i="4" a="1"/>
  <c r="E1523" i="4" a="1"/>
  <c r="C1632" i="4" a="1"/>
  <c r="C1461" i="4" l="1"/>
  <c r="C1576" i="4"/>
  <c r="E1461" i="4"/>
  <c r="G1523" i="4"/>
  <c r="E1523" i="4"/>
  <c r="C1632" i="4"/>
  <c r="E1524" i="4" a="1"/>
  <c r="G1524" i="4" a="1"/>
  <c r="B1463" i="4" l="1"/>
  <c r="E1473" i="4" s="1"/>
  <c r="B1475" i="4" s="1"/>
  <c r="G1524" i="4"/>
  <c r="E1524" i="4"/>
  <c r="B1464" i="4" a="1"/>
  <c r="B1476" i="4" a="1"/>
  <c r="B1464" i="4" l="1"/>
  <c r="B1476" i="4"/>
  <c r="E1479" i="4" s="1"/>
  <c r="E1483" i="4" s="1"/>
  <c r="B1526" i="4"/>
  <c r="C1545" i="4" s="1"/>
  <c r="E1496" i="4" a="1"/>
  <c r="B1527" i="4" a="1"/>
  <c r="C1496" i="4" a="1"/>
  <c r="E1496" i="4" l="1"/>
  <c r="C1496" i="4"/>
  <c r="F1515" i="4"/>
  <c r="F1519" i="4" s="1"/>
  <c r="G1551" i="4" s="1"/>
  <c r="G1555" i="4" s="1"/>
  <c r="H1587" i="4" s="1"/>
  <c r="H1591" i="4" s="1"/>
  <c r="B1527" i="4"/>
  <c r="E1540" i="4"/>
  <c r="B1541" i="4" s="1"/>
  <c r="E1497" i="4" a="1"/>
  <c r="B1542" i="4" a="1"/>
  <c r="C1497" i="4" a="1"/>
  <c r="C1612" i="4" a="1"/>
  <c r="E1497" i="4" l="1"/>
  <c r="C1612" i="4"/>
  <c r="C1497" i="4"/>
  <c r="B1542" i="4"/>
  <c r="I1551" i="4" s="1"/>
  <c r="I1555" i="4" s="1"/>
  <c r="G1559" i="4" a="1"/>
  <c r="E1559" i="4" a="1"/>
  <c r="B1499" i="4" l="1"/>
  <c r="G1559" i="4"/>
  <c r="E1559" i="4"/>
  <c r="J1587" i="4"/>
  <c r="J1591" i="4" s="1"/>
  <c r="K1623" i="4" s="1"/>
  <c r="K1627" i="4" s="1"/>
  <c r="L1659" i="4" s="1"/>
  <c r="L1663" i="4" s="1"/>
  <c r="C1667" i="4" s="1"/>
  <c r="E1560" i="4" a="1"/>
  <c r="B1500" i="4" a="1"/>
  <c r="G1560" i="4" a="1"/>
  <c r="C1668" i="4" a="1"/>
  <c r="B1500" i="4" l="1"/>
  <c r="E1509" i="4"/>
  <c r="B1511" i="4" s="1"/>
  <c r="C1668" i="4"/>
  <c r="E1560" i="4"/>
  <c r="G1560" i="4"/>
  <c r="B1512" i="4" a="1"/>
  <c r="B1512" i="4" l="1"/>
  <c r="E1515" i="4" s="1"/>
  <c r="E1519" i="4" s="1"/>
  <c r="F1551" i="4" s="1"/>
  <c r="F1555" i="4" s="1"/>
  <c r="G1587" i="4" s="1"/>
  <c r="G1591" i="4" s="1"/>
  <c r="H1623" i="4" s="1"/>
  <c r="H1627" i="4" s="1"/>
  <c r="B1562" i="4"/>
  <c r="C1532" i="4" a="1"/>
  <c r="B1563" i="4" a="1"/>
  <c r="E1532" i="4" a="1"/>
  <c r="C1648" i="4" a="1"/>
  <c r="C1532" i="4" l="1"/>
  <c r="E1532" i="4"/>
  <c r="C1648" i="4"/>
  <c r="B1563" i="4"/>
  <c r="C1581" i="4"/>
  <c r="E1576" i="4"/>
  <c r="B1577" i="4" s="1"/>
  <c r="C1533" i="4" a="1"/>
  <c r="B1578" i="4" a="1"/>
  <c r="E1533" i="4" a="1"/>
  <c r="E1533" i="4" l="1"/>
  <c r="C1533" i="4"/>
  <c r="B1578" i="4"/>
  <c r="I1587" i="4" s="1"/>
  <c r="I1591" i="4" s="1"/>
  <c r="E1595" i="4" a="1"/>
  <c r="G1595" i="4" a="1"/>
  <c r="B1535" i="4" l="1"/>
  <c r="E1545" i="4" s="1"/>
  <c r="B1547" i="4" s="1"/>
  <c r="G1595" i="4"/>
  <c r="E1595" i="4"/>
  <c r="J1623" i="4"/>
  <c r="J1627" i="4" s="1"/>
  <c r="K1659" i="4" s="1"/>
  <c r="K1663" i="4" s="1"/>
  <c r="L1695" i="4" s="1"/>
  <c r="L1699" i="4" s="1"/>
  <c r="C1703" i="4" s="1"/>
  <c r="B1536" i="4" a="1"/>
  <c r="B1548" i="4" a="1"/>
  <c r="G1596" i="4" a="1"/>
  <c r="E1596" i="4" a="1"/>
  <c r="C1704" i="4" a="1"/>
  <c r="B1536" i="4" l="1"/>
  <c r="B1548" i="4"/>
  <c r="E1551" i="4" s="1"/>
  <c r="E1555" i="4" s="1"/>
  <c r="C1704" i="4"/>
  <c r="E1596" i="4"/>
  <c r="G1596" i="4"/>
  <c r="C1568" i="4" a="1"/>
  <c r="E1568" i="4" a="1"/>
  <c r="E1568" i="4" l="1"/>
  <c r="C1568" i="4"/>
  <c r="F1587" i="4"/>
  <c r="F1591" i="4" s="1"/>
  <c r="G1623" i="4" s="1"/>
  <c r="G1627" i="4" s="1"/>
  <c r="H1659" i="4" s="1"/>
  <c r="H1663" i="4" s="1"/>
  <c r="B1598" i="4"/>
  <c r="C1569" i="4" a="1"/>
  <c r="C1684" i="4" a="1"/>
  <c r="E1569" i="4" a="1"/>
  <c r="B1599" i="4" a="1"/>
  <c r="E1569" i="4" l="1"/>
  <c r="C1684" i="4"/>
  <c r="C1569" i="4"/>
  <c r="B1599" i="4"/>
  <c r="C1617" i="4"/>
  <c r="E1612" i="4"/>
  <c r="B1613" i="4" s="1"/>
  <c r="B1614" i="4" a="1"/>
  <c r="B1571" i="4" l="1"/>
  <c r="B1614" i="4"/>
  <c r="I1623" i="4" s="1"/>
  <c r="I1627" i="4" s="1"/>
  <c r="B1572" i="4" a="1"/>
  <c r="E1631" i="4" a="1"/>
  <c r="G1631" i="4" a="1"/>
  <c r="B1572" i="4" l="1"/>
  <c r="E1581" i="4"/>
  <c r="B1583" i="4" s="1"/>
  <c r="E1631" i="4"/>
  <c r="G1631" i="4"/>
  <c r="J1659" i="4"/>
  <c r="J1663" i="4" s="1"/>
  <c r="K1695" i="4" s="1"/>
  <c r="K1699" i="4" s="1"/>
  <c r="L1731" i="4" s="1"/>
  <c r="L1735" i="4" s="1"/>
  <c r="C1739" i="4" s="1"/>
  <c r="B1584" i="4" a="1"/>
  <c r="E1632" i="4" a="1"/>
  <c r="G1632" i="4" a="1"/>
  <c r="C1740" i="4" a="1"/>
  <c r="B1584" i="4" l="1"/>
  <c r="E1587" i="4" s="1"/>
  <c r="E1591" i="4" s="1"/>
  <c r="E1632" i="4"/>
  <c r="C1740" i="4"/>
  <c r="G1632" i="4"/>
  <c r="E1604" i="4" a="1"/>
  <c r="C1604" i="4" a="1"/>
  <c r="C1604" i="4" l="1"/>
  <c r="E1604" i="4"/>
  <c r="F1623" i="4"/>
  <c r="F1627" i="4" s="1"/>
  <c r="G1659" i="4" s="1"/>
  <c r="G1663" i="4" s="1"/>
  <c r="H1695" i="4" s="1"/>
  <c r="H1699" i="4" s="1"/>
  <c r="B1634" i="4"/>
  <c r="C1653" i="4" s="1"/>
  <c r="C1605" i="4" a="1"/>
  <c r="C1720" i="4" a="1"/>
  <c r="B1635" i="4" a="1"/>
  <c r="E1605" i="4" a="1"/>
  <c r="C1720" i="4" l="1"/>
  <c r="E1605" i="4"/>
  <c r="C1605" i="4"/>
  <c r="B1635" i="4"/>
  <c r="E1648" i="4"/>
  <c r="B1649" i="4" s="1"/>
  <c r="B1650" i="4" a="1"/>
  <c r="B1607" i="4" l="1"/>
  <c r="B1650" i="4"/>
  <c r="I1659" i="4" s="1"/>
  <c r="I1663" i="4" s="1"/>
  <c r="B1608" i="4" a="1"/>
  <c r="G1667" i="4" a="1"/>
  <c r="E1667" i="4" a="1"/>
  <c r="B1608" i="4" l="1"/>
  <c r="E1617" i="4"/>
  <c r="B1619" i="4" s="1"/>
  <c r="E1667" i="4"/>
  <c r="G1667" i="4"/>
  <c r="J1695" i="4"/>
  <c r="J1699" i="4" s="1"/>
  <c r="K1731" i="4" s="1"/>
  <c r="K1735" i="4" s="1"/>
  <c r="L1767" i="4" s="1"/>
  <c r="L1771" i="4" s="1"/>
  <c r="C1775" i="4" s="1"/>
  <c r="E1668" i="4" a="1"/>
  <c r="C1776" i="4" a="1"/>
  <c r="B1620" i="4" a="1"/>
  <c r="G1668" i="4" a="1"/>
  <c r="B1620" i="4" l="1"/>
  <c r="E1623" i="4" s="1"/>
  <c r="E1627" i="4" s="1"/>
  <c r="C1776" i="4"/>
  <c r="G1668" i="4"/>
  <c r="E1668" i="4"/>
  <c r="E1640" i="4" a="1"/>
  <c r="C1640" i="4" a="1"/>
  <c r="C1640" i="4" l="1"/>
  <c r="E1640" i="4"/>
  <c r="F1659" i="4"/>
  <c r="F1663" i="4" s="1"/>
  <c r="G1695" i="4" s="1"/>
  <c r="G1699" i="4" s="1"/>
  <c r="H1731" i="4" s="1"/>
  <c r="H1735" i="4" s="1"/>
  <c r="B1670" i="4"/>
  <c r="E1684" i="4" s="1"/>
  <c r="B1685" i="4" s="1"/>
  <c r="C1756" i="4" a="1"/>
  <c r="B1671" i="4" a="1"/>
  <c r="E1641" i="4" a="1"/>
  <c r="C1641" i="4" a="1"/>
  <c r="B1686" i="4" a="1"/>
  <c r="C1641" i="4" l="1"/>
  <c r="C1756" i="4"/>
  <c r="E1641" i="4"/>
  <c r="B1671" i="4"/>
  <c r="C1689" i="4"/>
  <c r="B1686" i="4"/>
  <c r="I1695" i="4" s="1"/>
  <c r="I1699" i="4" s="1"/>
  <c r="G1703" i="4" a="1"/>
  <c r="E1703" i="4" a="1"/>
  <c r="B1643" i="4" l="1"/>
  <c r="E1653" i="4" s="1"/>
  <c r="B1655" i="4" s="1"/>
  <c r="G1703" i="4"/>
  <c r="E1703" i="4"/>
  <c r="J1731" i="4"/>
  <c r="J1735" i="4" s="1"/>
  <c r="K1767" i="4" s="1"/>
  <c r="K1771" i="4" s="1"/>
  <c r="L1803" i="4" s="1"/>
  <c r="L1807" i="4" s="1"/>
  <c r="C1811" i="4" s="1"/>
  <c r="B1656" i="4" a="1"/>
  <c r="G1704" i="4" a="1"/>
  <c r="B1644" i="4" a="1"/>
  <c r="C1812" i="4" a="1"/>
  <c r="E1704" i="4" a="1"/>
  <c r="B1644" i="4" l="1"/>
  <c r="B1656" i="4"/>
  <c r="E1659" i="4" s="1"/>
  <c r="E1663" i="4" s="1"/>
  <c r="C1812" i="4"/>
  <c r="E1704" i="4"/>
  <c r="G1704" i="4"/>
  <c r="C1676" i="4" a="1"/>
  <c r="E1676" i="4" a="1"/>
  <c r="C1676" i="4" l="1"/>
  <c r="E1676" i="4"/>
  <c r="F1695" i="4"/>
  <c r="F1699" i="4" s="1"/>
  <c r="G1731" i="4" s="1"/>
  <c r="G1735" i="4" s="1"/>
  <c r="H1767" i="4" s="1"/>
  <c r="H1771" i="4" s="1"/>
  <c r="B1706" i="4"/>
  <c r="E1720" i="4" s="1"/>
  <c r="B1721" i="4" s="1"/>
  <c r="B1722" i="4" a="1"/>
  <c r="C1792" i="4" a="1"/>
  <c r="C1677" i="4" a="1"/>
  <c r="E1677" i="4" a="1"/>
  <c r="B1707" i="4" a="1"/>
  <c r="E1677" i="4" l="1"/>
  <c r="C1677" i="4"/>
  <c r="B1679" i="4" s="1"/>
  <c r="C1792" i="4"/>
  <c r="B1707" i="4"/>
  <c r="C1725" i="4"/>
  <c r="B1722" i="4"/>
  <c r="I1731" i="4" s="1"/>
  <c r="I1735" i="4" s="1"/>
  <c r="G1739" i="4" a="1"/>
  <c r="E1739" i="4" a="1"/>
  <c r="B1680" i="4" a="1"/>
  <c r="B1680" i="4" l="1"/>
  <c r="E1689" i="4"/>
  <c r="B1691" i="4" s="1"/>
  <c r="G1739" i="4"/>
  <c r="E1739" i="4"/>
  <c r="J1767" i="4"/>
  <c r="J1771" i="4" s="1"/>
  <c r="K1803" i="4" s="1"/>
  <c r="K1807" i="4" s="1"/>
  <c r="L1839" i="4" s="1"/>
  <c r="L1843" i="4" s="1"/>
  <c r="C1847" i="4" s="1"/>
  <c r="G1740" i="4" a="1"/>
  <c r="C1848" i="4" a="1"/>
  <c r="E1740" i="4" a="1"/>
  <c r="B1692" i="4" a="1"/>
  <c r="B1692" i="4" l="1"/>
  <c r="E1695" i="4" s="1"/>
  <c r="E1699" i="4" s="1"/>
  <c r="C1848" i="4"/>
  <c r="E1740" i="4"/>
  <c r="G1740" i="4"/>
  <c r="E1712" i="4" a="1"/>
  <c r="C1712" i="4" a="1"/>
  <c r="C1712" i="4" l="1"/>
  <c r="E1712" i="4"/>
  <c r="F1731" i="4"/>
  <c r="F1735" i="4" s="1"/>
  <c r="G1767" i="4" s="1"/>
  <c r="G1771" i="4" s="1"/>
  <c r="H1803" i="4" s="1"/>
  <c r="H1807" i="4" s="1"/>
  <c r="B1742" i="4"/>
  <c r="E1713" i="4" a="1"/>
  <c r="C1713" i="4" a="1"/>
  <c r="B1743" i="4" a="1"/>
  <c r="C1828" i="4" a="1"/>
  <c r="C1713" i="4" l="1"/>
  <c r="C1828" i="4"/>
  <c r="E1713" i="4"/>
  <c r="B1743" i="4"/>
  <c r="C1761" i="4"/>
  <c r="E1756" i="4"/>
  <c r="B1757" i="4" s="1"/>
  <c r="B1758" i="4" a="1"/>
  <c r="B1715" i="4" l="1"/>
  <c r="E1725" i="4" s="1"/>
  <c r="B1727" i="4" s="1"/>
  <c r="B1758" i="4"/>
  <c r="I1767" i="4" s="1"/>
  <c r="I1771" i="4" s="1"/>
  <c r="G1775" i="4" a="1"/>
  <c r="E1775" i="4" a="1"/>
  <c r="B1728" i="4" a="1"/>
  <c r="B1716" i="4" a="1"/>
  <c r="B1716" i="4" l="1"/>
  <c r="B1728" i="4"/>
  <c r="E1731" i="4" s="1"/>
  <c r="E1735" i="4" s="1"/>
  <c r="E1775" i="4"/>
  <c r="G1775" i="4"/>
  <c r="J1803" i="4"/>
  <c r="J1807" i="4" s="1"/>
  <c r="K1839" i="4" s="1"/>
  <c r="K1843" i="4" s="1"/>
  <c r="L1875" i="4" s="1"/>
  <c r="L1879" i="4" s="1"/>
  <c r="C1883" i="4" s="1"/>
  <c r="E1748" i="4" a="1"/>
  <c r="G1776" i="4" a="1"/>
  <c r="E1776" i="4" a="1"/>
  <c r="C1884" i="4" a="1"/>
  <c r="C1748" i="4" a="1"/>
  <c r="C1748" i="4" l="1"/>
  <c r="E1748" i="4"/>
  <c r="F1767" i="4"/>
  <c r="F1771" i="4" s="1"/>
  <c r="G1803" i="4" s="1"/>
  <c r="G1807" i="4" s="1"/>
  <c r="H1839" i="4" s="1"/>
  <c r="H1843" i="4" s="1"/>
  <c r="C1884" i="4"/>
  <c r="G1776" i="4"/>
  <c r="E1776" i="4"/>
  <c r="C1749" i="4" a="1"/>
  <c r="C1864" i="4" a="1"/>
  <c r="E1749" i="4" a="1"/>
  <c r="C1749" i="4" l="1"/>
  <c r="C1864" i="4"/>
  <c r="E1749" i="4"/>
  <c r="B1778" i="4"/>
  <c r="E1792" i="4" s="1"/>
  <c r="B1793" i="4" s="1"/>
  <c r="B1779" i="4" a="1"/>
  <c r="B1794" i="4" a="1"/>
  <c r="B1751" i="4" l="1"/>
  <c r="E1761" i="4" s="1"/>
  <c r="B1763" i="4" s="1"/>
  <c r="B1779" i="4"/>
  <c r="C1797" i="4"/>
  <c r="B1794" i="4"/>
  <c r="I1803" i="4" s="1"/>
  <c r="I1807" i="4" s="1"/>
  <c r="J1839" i="4" s="1"/>
  <c r="J1843" i="4" s="1"/>
  <c r="B1752" i="4" a="1"/>
  <c r="E1811" i="4" a="1"/>
  <c r="B1764" i="4" a="1"/>
  <c r="G1811" i="4" a="1"/>
  <c r="B1752" i="4" l="1"/>
  <c r="B1764" i="4"/>
  <c r="E1767" i="4" s="1"/>
  <c r="E1771" i="4" s="1"/>
  <c r="E1811" i="4"/>
  <c r="G1811" i="4"/>
  <c r="K1875" i="4"/>
  <c r="K1879" i="4" s="1"/>
  <c r="L1911" i="4" s="1"/>
  <c r="L1915" i="4" s="1"/>
  <c r="C1919" i="4" s="1"/>
  <c r="C1920" i="4" a="1"/>
  <c r="G1812" i="4" a="1"/>
  <c r="E1784" i="4" a="1"/>
  <c r="C1784" i="4" a="1"/>
  <c r="E1812" i="4" a="1"/>
  <c r="E1784" i="4" l="1"/>
  <c r="C1784" i="4"/>
  <c r="F1803" i="4"/>
  <c r="F1807" i="4" s="1"/>
  <c r="G1839" i="4" s="1"/>
  <c r="G1843" i="4" s="1"/>
  <c r="H1875" i="4" s="1"/>
  <c r="H1879" i="4" s="1"/>
  <c r="G1812" i="4"/>
  <c r="E1812" i="4"/>
  <c r="C1920" i="4"/>
  <c r="C1900" i="4" a="1"/>
  <c r="C1785" i="4" a="1"/>
  <c r="E1785" i="4" a="1"/>
  <c r="C1900" i="4" l="1"/>
  <c r="C1785" i="4"/>
  <c r="E1785" i="4"/>
  <c r="B1814" i="4"/>
  <c r="B1815" i="4" a="1"/>
  <c r="B1787" i="4" l="1"/>
  <c r="B1815" i="4"/>
  <c r="C1833" i="4"/>
  <c r="E1828" i="4"/>
  <c r="B1829" i="4" s="1"/>
  <c r="B1788" i="4" a="1"/>
  <c r="B1830" i="4" a="1"/>
  <c r="B1788" i="4" l="1"/>
  <c r="E1797" i="4"/>
  <c r="B1799" i="4" s="1"/>
  <c r="B1830" i="4"/>
  <c r="I1839" i="4" s="1"/>
  <c r="I1843" i="4" s="1"/>
  <c r="J1875" i="4" s="1"/>
  <c r="J1879" i="4" s="1"/>
  <c r="B1800" i="4" a="1"/>
  <c r="E1847" i="4" a="1"/>
  <c r="G1847" i="4" a="1"/>
  <c r="B1800" i="4" l="1"/>
  <c r="E1803" i="4" s="1"/>
  <c r="E1807" i="4" s="1"/>
  <c r="F1839" i="4" s="1"/>
  <c r="F1843" i="4" s="1"/>
  <c r="G1875" i="4" s="1"/>
  <c r="G1879" i="4" s="1"/>
  <c r="H1911" i="4" s="1"/>
  <c r="H1915" i="4" s="1"/>
  <c r="E1847" i="4"/>
  <c r="G1847" i="4"/>
  <c r="K1911" i="4"/>
  <c r="K1915" i="4" s="1"/>
  <c r="L1947" i="4" s="1"/>
  <c r="L1951" i="4" s="1"/>
  <c r="C1955" i="4" s="1"/>
  <c r="C1820" i="4" a="1"/>
  <c r="G1848" i="4" a="1"/>
  <c r="C1956" i="4" a="1"/>
  <c r="C1936" i="4" a="1"/>
  <c r="E1848" i="4" a="1"/>
  <c r="E1820" i="4" a="1"/>
  <c r="C1820" i="4" l="1"/>
  <c r="E1820" i="4"/>
  <c r="C1936" i="4"/>
  <c r="G1848" i="4"/>
  <c r="E1848" i="4"/>
  <c r="C1956" i="4"/>
  <c r="C1821" i="4" a="1"/>
  <c r="E1821" i="4" a="1"/>
  <c r="E1821" i="4" l="1"/>
  <c r="C1821" i="4"/>
  <c r="B1850" i="4"/>
  <c r="E1864" i="4" s="1"/>
  <c r="B1865" i="4" s="1"/>
  <c r="B1866" i="4" a="1"/>
  <c r="B1851" i="4" a="1"/>
  <c r="B1823" i="4" l="1"/>
  <c r="B1851" i="4"/>
  <c r="C1869" i="4"/>
  <c r="B1866" i="4"/>
  <c r="I1875" i="4" s="1"/>
  <c r="I1879" i="4" s="1"/>
  <c r="E1883" i="4" a="1"/>
  <c r="B1824" i="4" a="1"/>
  <c r="G1883" i="4" a="1"/>
  <c r="B1824" i="4" l="1"/>
  <c r="E1833" i="4"/>
  <c r="B1835" i="4" s="1"/>
  <c r="G1883" i="4"/>
  <c r="E1883" i="4"/>
  <c r="J1911" i="4"/>
  <c r="J1915" i="4" s="1"/>
  <c r="K1947" i="4" s="1"/>
  <c r="K1951" i="4" s="1"/>
  <c r="L1983" i="4" s="1"/>
  <c r="L1987" i="4" s="1"/>
  <c r="C1991" i="4" s="1"/>
  <c r="C1992" i="4" a="1"/>
  <c r="G1884" i="4" a="1"/>
  <c r="B1836" i="4" a="1"/>
  <c r="E1884" i="4" a="1"/>
  <c r="B1836" i="4" l="1"/>
  <c r="E1839" i="4" s="1"/>
  <c r="E1843" i="4" s="1"/>
  <c r="F1875" i="4" s="1"/>
  <c r="F1879" i="4" s="1"/>
  <c r="G1911" i="4" s="1"/>
  <c r="G1915" i="4" s="1"/>
  <c r="H1947" i="4" s="1"/>
  <c r="H1951" i="4" s="1"/>
  <c r="G1884" i="4"/>
  <c r="E1884" i="4"/>
  <c r="C1992" i="4"/>
  <c r="C1856" i="4" a="1"/>
  <c r="C1972" i="4" a="1"/>
  <c r="E1856" i="4" a="1"/>
  <c r="E1856" i="4" l="1"/>
  <c r="C1856" i="4"/>
  <c r="C1972" i="4"/>
  <c r="B1886" i="4"/>
  <c r="E1900" i="4" s="1"/>
  <c r="B1901" i="4" s="1"/>
  <c r="E1857" i="4" a="1"/>
  <c r="C1857" i="4" a="1"/>
  <c r="B1902" i="4" a="1"/>
  <c r="B1887" i="4" a="1"/>
  <c r="E1857" i="4" l="1"/>
  <c r="C1857" i="4"/>
  <c r="B1887" i="4"/>
  <c r="C1905" i="4"/>
  <c r="B1902" i="4"/>
  <c r="I1911" i="4" s="1"/>
  <c r="I1915" i="4" s="1"/>
  <c r="J1947" i="4" s="1"/>
  <c r="J1951" i="4" s="1"/>
  <c r="K1983" i="4" s="1"/>
  <c r="K1987" i="4" s="1"/>
  <c r="L2019" i="4" s="1"/>
  <c r="L2023" i="4" s="1"/>
  <c r="C2027" i="4" s="1"/>
  <c r="E1919" i="4" a="1"/>
  <c r="G1919" i="4" a="1"/>
  <c r="C2028" i="4" a="1"/>
  <c r="B1859" i="4" l="1"/>
  <c r="G1919" i="4"/>
  <c r="E1919" i="4"/>
  <c r="C2028" i="4"/>
  <c r="G1920" i="4" a="1"/>
  <c r="B1860" i="4" a="1"/>
  <c r="E1920" i="4" a="1"/>
  <c r="B1860" i="4" l="1"/>
  <c r="E1869" i="4"/>
  <c r="B1871" i="4" s="1"/>
  <c r="G1920" i="4"/>
  <c r="E1920" i="4"/>
  <c r="B1872" i="4" a="1"/>
  <c r="B1872" i="4" l="1"/>
  <c r="E1875" i="4" s="1"/>
  <c r="E1879" i="4" s="1"/>
  <c r="B1922" i="4"/>
  <c r="E1936" i="4" s="1"/>
  <c r="B1937" i="4" s="1"/>
  <c r="E1892" i="4" a="1"/>
  <c r="B1938" i="4" a="1"/>
  <c r="C1892" i="4" a="1"/>
  <c r="B1923" i="4" a="1"/>
  <c r="C1892" i="4" l="1"/>
  <c r="E1892" i="4"/>
  <c r="F1911" i="4"/>
  <c r="F1915" i="4" s="1"/>
  <c r="G1947" i="4" s="1"/>
  <c r="G1951" i="4" s="1"/>
  <c r="H1983" i="4" s="1"/>
  <c r="H1987" i="4" s="1"/>
  <c r="B1923" i="4"/>
  <c r="C1941" i="4"/>
  <c r="B1938" i="4"/>
  <c r="I1947" i="4" s="1"/>
  <c r="I1951" i="4" s="1"/>
  <c r="C1893" i="4" a="1"/>
  <c r="E1893" i="4" a="1"/>
  <c r="C2008" i="4" a="1"/>
  <c r="E1955" i="4" a="1"/>
  <c r="G1955" i="4" a="1"/>
  <c r="C1893" i="4" l="1"/>
  <c r="C2008" i="4"/>
  <c r="E1893" i="4"/>
  <c r="E1955" i="4"/>
  <c r="G1955" i="4"/>
  <c r="J1983" i="4"/>
  <c r="J1987" i="4" s="1"/>
  <c r="G1956" i="4" a="1"/>
  <c r="E1956" i="4" a="1"/>
  <c r="B1895" i="4" l="1"/>
  <c r="E1905" i="4" s="1"/>
  <c r="B1907" i="4" s="1"/>
  <c r="G1956" i="4"/>
  <c r="E1956" i="4"/>
  <c r="K2019" i="4"/>
  <c r="K2023" i="4" s="1"/>
  <c r="L2055" i="4" s="1"/>
  <c r="L2059" i="4" s="1"/>
  <c r="C2063" i="4" s="1"/>
  <c r="B1908" i="4" a="1"/>
  <c r="B1896" i="4" a="1"/>
  <c r="C2064" i="4" a="1"/>
  <c r="B1896" i="4" l="1"/>
  <c r="B1908" i="4"/>
  <c r="E1911" i="4" s="1"/>
  <c r="E1915" i="4" s="1"/>
  <c r="C2064" i="4"/>
  <c r="B1958" i="4"/>
  <c r="B1959" i="4" a="1"/>
  <c r="C1928" i="4" a="1"/>
  <c r="E1928" i="4" a="1"/>
  <c r="C1928" i="4" l="1"/>
  <c r="E1928" i="4"/>
  <c r="F1947" i="4"/>
  <c r="F1951" i="4" s="1"/>
  <c r="G1983" i="4" s="1"/>
  <c r="G1987" i="4" s="1"/>
  <c r="H2019" i="4" s="1"/>
  <c r="H2023" i="4" s="1"/>
  <c r="B1959" i="4"/>
  <c r="E1972" i="4"/>
  <c r="B1973" i="4" s="1"/>
  <c r="C1977" i="4"/>
  <c r="E1929" i="4" a="1"/>
  <c r="C1929" i="4" a="1"/>
  <c r="B1974" i="4" a="1"/>
  <c r="C2044" i="4" a="1"/>
  <c r="C2044" i="4" l="1"/>
  <c r="E1929" i="4"/>
  <c r="C1929" i="4"/>
  <c r="B1974" i="4"/>
  <c r="I1983" i="4" s="1"/>
  <c r="I1987" i="4" s="1"/>
  <c r="G1991" i="4" a="1"/>
  <c r="E1991" i="4" a="1"/>
  <c r="B1931" i="4" l="1"/>
  <c r="E1941" i="4" s="1"/>
  <c r="B1943" i="4" s="1"/>
  <c r="E1991" i="4"/>
  <c r="G1991" i="4"/>
  <c r="J2019" i="4"/>
  <c r="J2023" i="4" s="1"/>
  <c r="B1932" i="4" a="1"/>
  <c r="B1944" i="4" a="1"/>
  <c r="G1992" i="4" a="1"/>
  <c r="E1992" i="4" a="1"/>
  <c r="B1932" i="4" l="1"/>
  <c r="B1944" i="4"/>
  <c r="E1947" i="4" s="1"/>
  <c r="E1951" i="4" s="1"/>
  <c r="G1992" i="4"/>
  <c r="E1992" i="4"/>
  <c r="K2055" i="4"/>
  <c r="K2059" i="4" s="1"/>
  <c r="L2091" i="4" s="1"/>
  <c r="L2095" i="4" s="1"/>
  <c r="C2099" i="4" s="1"/>
  <c r="C2100" i="4" a="1"/>
  <c r="E1964" i="4" a="1"/>
  <c r="C1964" i="4" a="1"/>
  <c r="C1964" i="4" l="1"/>
  <c r="E1964" i="4"/>
  <c r="F1983" i="4"/>
  <c r="F1987" i="4" s="1"/>
  <c r="G2019" i="4" s="1"/>
  <c r="G2023" i="4" s="1"/>
  <c r="H2055" i="4" s="1"/>
  <c r="H2059" i="4" s="1"/>
  <c r="B1994" i="4"/>
  <c r="C2100" i="4"/>
  <c r="E1965" i="4" a="1"/>
  <c r="B1995" i="4" a="1"/>
  <c r="C2080" i="4" a="1"/>
  <c r="C1965" i="4" a="1"/>
  <c r="C2080" i="4" l="1"/>
  <c r="E1965" i="4"/>
  <c r="C1965" i="4"/>
  <c r="B1995" i="4"/>
  <c r="C2013" i="4"/>
  <c r="E2008" i="4"/>
  <c r="B2009" i="4" s="1"/>
  <c r="B2010" i="4" a="1"/>
  <c r="B1967" i="4" l="1"/>
  <c r="B2010" i="4"/>
  <c r="I2019" i="4" s="1"/>
  <c r="I2023" i="4" s="1"/>
  <c r="E2027" i="4" a="1"/>
  <c r="B1968" i="4" a="1"/>
  <c r="G2027" i="4" a="1"/>
  <c r="B1968" i="4" l="1"/>
  <c r="E1977" i="4"/>
  <c r="B1979" i="4" s="1"/>
  <c r="G2027" i="4"/>
  <c r="E2027" i="4"/>
  <c r="J2055" i="4"/>
  <c r="J2059" i="4" s="1"/>
  <c r="K2091" i="4" s="1"/>
  <c r="K2095" i="4" s="1"/>
  <c r="L2127" i="4" s="1"/>
  <c r="L2131" i="4" s="1"/>
  <c r="C2135" i="4" s="1"/>
  <c r="E2028" i="4" a="1"/>
  <c r="C2136" i="4" a="1"/>
  <c r="G2028" i="4" a="1"/>
  <c r="B1980" i="4" a="1"/>
  <c r="B1980" i="4" l="1"/>
  <c r="E1983" i="4" s="1"/>
  <c r="E1987" i="4" s="1"/>
  <c r="G2028" i="4"/>
  <c r="E2028" i="4"/>
  <c r="C2136" i="4"/>
  <c r="E2000" i="4" a="1"/>
  <c r="C2000" i="4" a="1"/>
  <c r="C2000" i="4" l="1"/>
  <c r="E2000" i="4"/>
  <c r="F2019" i="4"/>
  <c r="F2023" i="4" s="1"/>
  <c r="G2055" i="4" s="1"/>
  <c r="G2059" i="4" s="1"/>
  <c r="H2091" i="4" s="1"/>
  <c r="H2095" i="4" s="1"/>
  <c r="B2030" i="4"/>
  <c r="E2044" i="4" s="1"/>
  <c r="B2045" i="4" s="1"/>
  <c r="C2001" i="4" a="1"/>
  <c r="C2116" i="4" a="1"/>
  <c r="B2046" i="4" a="1"/>
  <c r="B2031" i="4" a="1"/>
  <c r="E2001" i="4" a="1"/>
  <c r="C2116" i="4" l="1"/>
  <c r="E2001" i="4"/>
  <c r="C2001" i="4"/>
  <c r="B2031" i="4"/>
  <c r="C2049" i="4"/>
  <c r="B2046" i="4"/>
  <c r="I2055" i="4" s="1"/>
  <c r="I2059" i="4" s="1"/>
  <c r="G2063" i="4" a="1"/>
  <c r="E2063" i="4" a="1"/>
  <c r="B2003" i="4" l="1"/>
  <c r="E2013" i="4" s="1"/>
  <c r="B2015" i="4" s="1"/>
  <c r="G2063" i="4"/>
  <c r="E2063" i="4"/>
  <c r="J2091" i="4"/>
  <c r="J2095" i="4" s="1"/>
  <c r="K2127" i="4" s="1"/>
  <c r="K2131" i="4" s="1"/>
  <c r="L2163" i="4" s="1"/>
  <c r="L2167" i="4" s="1"/>
  <c r="C2171" i="4" s="1"/>
  <c r="C2172" i="4" a="1"/>
  <c r="E2064" i="4" a="1"/>
  <c r="B2016" i="4" a="1"/>
  <c r="G2064" i="4" a="1"/>
  <c r="B2004" i="4" a="1"/>
  <c r="B2004" i="4" l="1"/>
  <c r="B2016" i="4"/>
  <c r="E2019" i="4" s="1"/>
  <c r="E2023" i="4" s="1"/>
  <c r="G2064" i="4"/>
  <c r="E2064" i="4"/>
  <c r="C2172" i="4"/>
  <c r="E2036" i="4" a="1"/>
  <c r="C2036" i="4" a="1"/>
  <c r="E2036" i="4" l="1"/>
  <c r="C2036" i="4"/>
  <c r="F2055" i="4"/>
  <c r="F2059" i="4" s="1"/>
  <c r="G2091" i="4" s="1"/>
  <c r="G2095" i="4" s="1"/>
  <c r="H2127" i="4" s="1"/>
  <c r="H2131" i="4" s="1"/>
  <c r="B2066" i="4"/>
  <c r="C2085" i="4" s="1"/>
  <c r="E2037" i="4" a="1"/>
  <c r="B2067" i="4" a="1"/>
  <c r="C2037" i="4" a="1"/>
  <c r="C2152" i="4" a="1"/>
  <c r="C2152" i="4" l="1"/>
  <c r="E2037" i="4"/>
  <c r="C2037" i="4"/>
  <c r="B2067" i="4"/>
  <c r="E2080" i="4"/>
  <c r="B2081" i="4" s="1"/>
  <c r="B2082" i="4" a="1"/>
  <c r="B2039" i="4" l="1"/>
  <c r="B2082" i="4"/>
  <c r="I2091" i="4" s="1"/>
  <c r="I2095" i="4" s="1"/>
  <c r="J2127" i="4" s="1"/>
  <c r="J2131" i="4" s="1"/>
  <c r="E2099" i="4" a="1"/>
  <c r="G2099" i="4" a="1"/>
  <c r="B2040" i="4" a="1"/>
  <c r="B2040" i="4" l="1"/>
  <c r="E2049" i="4"/>
  <c r="B2051" i="4" s="1"/>
  <c r="G2099" i="4"/>
  <c r="E2099" i="4"/>
  <c r="K2163" i="4"/>
  <c r="K2167" i="4" s="1"/>
  <c r="L2199" i="4" s="1"/>
  <c r="L2203" i="4" s="1"/>
  <c r="C2207" i="4" s="1"/>
  <c r="C2208" i="4" a="1"/>
  <c r="E2100" i="4" a="1"/>
  <c r="B2052" i="4" a="1"/>
  <c r="G2100" i="4" a="1"/>
  <c r="B2052" i="4" l="1"/>
  <c r="E2055" i="4" s="1"/>
  <c r="E2059" i="4" s="1"/>
  <c r="G2100" i="4"/>
  <c r="E2100" i="4"/>
  <c r="C2208" i="4"/>
  <c r="C2072" i="4" a="1"/>
  <c r="E2072" i="4" a="1"/>
  <c r="E2072" i="4" l="1"/>
  <c r="C2072" i="4"/>
  <c r="F2091" i="4"/>
  <c r="F2095" i="4" s="1"/>
  <c r="G2127" i="4" s="1"/>
  <c r="G2131" i="4" s="1"/>
  <c r="H2163" i="4" s="1"/>
  <c r="H2167" i="4" s="1"/>
  <c r="B2102" i="4"/>
  <c r="E2073" i="4" a="1"/>
  <c r="B2103" i="4" a="1"/>
  <c r="C2188" i="4" a="1"/>
  <c r="C2073" i="4" a="1"/>
  <c r="C2188" i="4" l="1"/>
  <c r="C2073" i="4"/>
  <c r="E2073" i="4"/>
  <c r="B2103" i="4"/>
  <c r="C2121" i="4"/>
  <c r="E2116" i="4"/>
  <c r="B2117" i="4" s="1"/>
  <c r="B2118" i="4" a="1"/>
  <c r="B2075" i="4" l="1"/>
  <c r="E2085" i="4" s="1"/>
  <c r="B2087" i="4" s="1"/>
  <c r="B2118" i="4"/>
  <c r="I2127" i="4" s="1"/>
  <c r="I2131" i="4" s="1"/>
  <c r="B2076" i="4" a="1"/>
  <c r="B2088" i="4" a="1"/>
  <c r="E2135" i="4" a="1"/>
  <c r="G2135" i="4" a="1"/>
  <c r="B2076" i="4" l="1"/>
  <c r="B2088" i="4"/>
  <c r="E2091" i="4" s="1"/>
  <c r="E2095" i="4" s="1"/>
  <c r="E2135" i="4"/>
  <c r="G2135" i="4"/>
  <c r="J2163" i="4"/>
  <c r="J2167" i="4" s="1"/>
  <c r="K2199" i="4" s="1"/>
  <c r="K2203" i="4" s="1"/>
  <c r="L2235" i="4" s="1"/>
  <c r="L2239" i="4" s="1"/>
  <c r="C2243" i="4" s="1"/>
  <c r="G2136" i="4" a="1"/>
  <c r="E2136" i="4" a="1"/>
  <c r="C2108" i="4" a="1"/>
  <c r="E2108" i="4" a="1"/>
  <c r="C2244" i="4" a="1"/>
  <c r="E2108" i="4" l="1"/>
  <c r="C2108" i="4"/>
  <c r="F2127" i="4"/>
  <c r="F2131" i="4" s="1"/>
  <c r="G2163" i="4" s="1"/>
  <c r="G2167" i="4" s="1"/>
  <c r="H2199" i="4" s="1"/>
  <c r="H2203" i="4" s="1"/>
  <c r="C2244" i="4"/>
  <c r="G2136" i="4"/>
  <c r="E2136" i="4"/>
  <c r="E2109" i="4" a="1"/>
  <c r="C2109" i="4" a="1"/>
  <c r="C2224" i="4" a="1"/>
  <c r="B2138" i="4" l="1"/>
  <c r="E2152" i="4" s="1"/>
  <c r="B2153" i="4" s="1"/>
  <c r="C2224" i="4"/>
  <c r="C2109" i="4"/>
  <c r="E2109" i="4"/>
  <c r="B2154" i="4" a="1"/>
  <c r="B2139" i="4" a="1"/>
  <c r="B2139" i="4" l="1"/>
  <c r="C2157" i="4"/>
  <c r="B2111" i="4"/>
  <c r="B2154" i="4"/>
  <c r="I2163" i="4" s="1"/>
  <c r="I2167" i="4" s="1"/>
  <c r="G2171" i="4" a="1"/>
  <c r="E2171" i="4" a="1"/>
  <c r="B2112" i="4" a="1"/>
  <c r="B2112" i="4" l="1"/>
  <c r="E2121" i="4"/>
  <c r="B2123" i="4" s="1"/>
  <c r="E2171" i="4"/>
  <c r="G2171" i="4"/>
  <c r="J2199" i="4"/>
  <c r="J2203" i="4" s="1"/>
  <c r="K2235" i="4" s="1"/>
  <c r="K2239" i="4" s="1"/>
  <c r="L2271" i="4" s="1"/>
  <c r="L2275" i="4" s="1"/>
  <c r="C2279" i="4" s="1"/>
  <c r="C2280" i="4" a="1"/>
  <c r="B2124" i="4" a="1"/>
  <c r="G2172" i="4" a="1"/>
  <c r="E2172" i="4" a="1"/>
  <c r="B2124" i="4" l="1"/>
  <c r="E2127" i="4" s="1"/>
  <c r="E2131" i="4" s="1"/>
  <c r="C2280" i="4"/>
  <c r="G2172" i="4"/>
  <c r="E2172" i="4"/>
  <c r="E2144" i="4" a="1"/>
  <c r="C2144" i="4" a="1"/>
  <c r="C2144" i="4" l="1"/>
  <c r="E2144" i="4"/>
  <c r="F2163" i="4"/>
  <c r="F2167" i="4" s="1"/>
  <c r="G2199" i="4" s="1"/>
  <c r="G2203" i="4" s="1"/>
  <c r="H2235" i="4" s="1"/>
  <c r="H2239" i="4" s="1"/>
  <c r="B2174" i="4"/>
  <c r="C2193" i="4" s="1"/>
  <c r="C2145" i="4" a="1"/>
  <c r="B2175" i="4" a="1"/>
  <c r="C2260" i="4" a="1"/>
  <c r="E2145" i="4" a="1"/>
  <c r="C2260" i="4" l="1"/>
  <c r="E2145" i="4"/>
  <c r="C2145" i="4"/>
  <c r="B2175" i="4"/>
  <c r="E2188" i="4"/>
  <c r="B2189" i="4" s="1"/>
  <c r="B2190" i="4" a="1"/>
  <c r="B2147" i="4" l="1"/>
  <c r="B2190" i="4"/>
  <c r="I2199" i="4" s="1"/>
  <c r="I2203" i="4" s="1"/>
  <c r="J2235" i="4" s="1"/>
  <c r="J2239" i="4" s="1"/>
  <c r="K2271" i="4" s="1"/>
  <c r="K2275" i="4" s="1"/>
  <c r="L2307" i="4" s="1"/>
  <c r="E2207" i="4" a="1"/>
  <c r="B2148" i="4" a="1"/>
  <c r="G2207" i="4" a="1"/>
  <c r="L2318" i="4" a="1"/>
  <c r="B2148" i="4" l="1"/>
  <c r="E2157" i="4"/>
  <c r="B2159" i="4" s="1"/>
  <c r="G2207" i="4"/>
  <c r="E2207" i="4"/>
  <c r="L2318" i="4"/>
  <c r="L2320" i="4" s="1"/>
  <c r="E2208" i="4" a="1"/>
  <c r="G2208" i="4" a="1"/>
  <c r="B2160" i="4" a="1"/>
  <c r="L2321" i="4" a="1"/>
  <c r="B2160" i="4" l="1"/>
  <c r="E2163" i="4" s="1"/>
  <c r="E2167" i="4" s="1"/>
  <c r="G2208" i="4"/>
  <c r="E2208" i="4"/>
  <c r="L2321" i="4"/>
  <c r="L2317" i="4" s="1"/>
  <c r="E2180" i="4" a="1"/>
  <c r="C2180" i="4" a="1"/>
  <c r="E2350" i="4" l="1"/>
  <c r="E2351" i="4"/>
  <c r="E2352" i="4"/>
  <c r="E2353" i="4"/>
  <c r="C2180" i="4"/>
  <c r="E2180" i="4"/>
  <c r="F2199" i="4"/>
  <c r="F2203" i="4" s="1"/>
  <c r="G2235" i="4" s="1"/>
  <c r="G2239" i="4" s="1"/>
  <c r="H2271" i="4" s="1"/>
  <c r="H2275" i="4" s="1"/>
  <c r="B2210" i="4"/>
  <c r="E2224" i="4" s="1"/>
  <c r="B2225" i="4" s="1"/>
  <c r="B2211" i="4" a="1"/>
  <c r="C2181" i="4" a="1"/>
  <c r="E2181" i="4" a="1"/>
  <c r="C2296" i="4" a="1"/>
  <c r="B2226" i="4" a="1"/>
  <c r="C2296" i="4" l="1"/>
  <c r="E2181" i="4"/>
  <c r="C2181" i="4"/>
  <c r="B2211" i="4"/>
  <c r="C2229" i="4"/>
  <c r="B2226" i="4"/>
  <c r="I2235" i="4" s="1"/>
  <c r="I2239" i="4" s="1"/>
  <c r="J2271" i="4" s="1"/>
  <c r="J2275" i="4" s="1"/>
  <c r="K2307" i="4" s="1"/>
  <c r="G2243" i="4" a="1"/>
  <c r="K2318" i="4" a="1"/>
  <c r="E2243" i="4" a="1"/>
  <c r="B2183" i="4" l="1"/>
  <c r="G2243" i="4"/>
  <c r="E2243" i="4"/>
  <c r="K2318" i="4"/>
  <c r="K2320" i="4" s="1"/>
  <c r="K2321" i="4" a="1"/>
  <c r="G2244" i="4" a="1"/>
  <c r="B2184" i="4" a="1"/>
  <c r="E2244" i="4" a="1"/>
  <c r="B2184" i="4" l="1"/>
  <c r="E2193" i="4"/>
  <c r="B2195" i="4" s="1"/>
  <c r="E2244" i="4"/>
  <c r="G2244" i="4"/>
  <c r="K2321" i="4"/>
  <c r="K2317" i="4" s="1"/>
  <c r="B2196" i="4" a="1"/>
  <c r="E2346" i="4" l="1"/>
  <c r="E2347" i="4"/>
  <c r="E2348" i="4"/>
  <c r="E2349" i="4"/>
  <c r="B2196" i="4"/>
  <c r="E2199" i="4" s="1"/>
  <c r="E2203" i="4" s="1"/>
  <c r="F2235" i="4" s="1"/>
  <c r="F2239" i="4" s="1"/>
  <c r="G2271" i="4" s="1"/>
  <c r="G2275" i="4" s="1"/>
  <c r="H2307" i="4" s="1"/>
  <c r="B2246" i="4"/>
  <c r="C2216" i="4" a="1"/>
  <c r="B2247" i="4" a="1"/>
  <c r="H2318" i="4" a="1"/>
  <c r="E2216" i="4" a="1"/>
  <c r="C2216" i="4" l="1"/>
  <c r="E2216" i="4"/>
  <c r="H2318" i="4"/>
  <c r="H2320" i="4" s="1"/>
  <c r="B2247" i="4"/>
  <c r="C2265" i="4"/>
  <c r="E2260" i="4"/>
  <c r="B2261" i="4" s="1"/>
  <c r="C2217" i="4" a="1"/>
  <c r="H2321" i="4" a="1"/>
  <c r="B2262" i="4" a="1"/>
  <c r="E2217" i="4" a="1"/>
  <c r="C2217" i="4" l="1"/>
  <c r="E2217" i="4"/>
  <c r="H2321" i="4"/>
  <c r="H2317" i="4" s="1"/>
  <c r="B2262" i="4"/>
  <c r="I2271" i="4" s="1"/>
  <c r="I2275" i="4" s="1"/>
  <c r="G2279" i="4" a="1"/>
  <c r="E2279" i="4" a="1"/>
  <c r="E2334" i="4" l="1"/>
  <c r="E2335" i="4"/>
  <c r="E2336" i="4"/>
  <c r="E2337" i="4"/>
  <c r="B2219" i="4"/>
  <c r="E2229" i="4" s="1"/>
  <c r="B2231" i="4" s="1"/>
  <c r="G2279" i="4"/>
  <c r="E2279" i="4"/>
  <c r="J2307" i="4"/>
  <c r="E2280" i="4" a="1"/>
  <c r="J2318" i="4" a="1"/>
  <c r="B2220" i="4" a="1"/>
  <c r="G2280" i="4" a="1"/>
  <c r="B2232" i="4" a="1"/>
  <c r="B2220" i="4" l="1"/>
  <c r="B2232" i="4"/>
  <c r="E2235" i="4" s="1"/>
  <c r="E2239" i="4" s="1"/>
  <c r="J2318" i="4"/>
  <c r="J2320" i="4" s="1"/>
  <c r="E2280" i="4"/>
  <c r="G2280" i="4"/>
  <c r="C2252" i="4" a="1"/>
  <c r="E2252" i="4" a="1"/>
  <c r="J2321" i="4" a="1"/>
  <c r="E2252" i="4" l="1"/>
  <c r="C2252" i="4"/>
  <c r="F2271" i="4"/>
  <c r="F2275" i="4" s="1"/>
  <c r="G2307" i="4" s="1"/>
  <c r="B2282" i="4"/>
  <c r="J2321" i="4"/>
  <c r="J2317" i="4" s="1"/>
  <c r="B2283" i="4" a="1"/>
  <c r="G2318" i="4" a="1"/>
  <c r="C2253" i="4" a="1"/>
  <c r="E2253" i="4" a="1"/>
  <c r="E2343" i="4" l="1"/>
  <c r="E2342" i="4"/>
  <c r="E2344" i="4"/>
  <c r="E2345" i="4"/>
  <c r="G2318" i="4"/>
  <c r="G2320" i="4" s="1"/>
  <c r="C2253" i="4"/>
  <c r="E2253" i="4"/>
  <c r="B2283" i="4"/>
  <c r="C2301" i="4"/>
  <c r="E2296" i="4"/>
  <c r="B2297" i="4" s="1"/>
  <c r="B2298" i="4" a="1"/>
  <c r="G2321" i="4" a="1"/>
  <c r="B2255" i="4" l="1"/>
  <c r="E2265" i="4" s="1"/>
  <c r="B2267" i="4" s="1"/>
  <c r="G2321" i="4"/>
  <c r="G2317" i="4" s="1"/>
  <c r="B2298" i="4"/>
  <c r="I2307" i="4" s="1"/>
  <c r="I2318" i="4" a="1"/>
  <c r="B2268" i="4" a="1"/>
  <c r="B2256" i="4" a="1"/>
  <c r="E2330" i="4" l="1"/>
  <c r="E2331" i="4"/>
  <c r="E2332" i="4"/>
  <c r="E2333" i="4"/>
  <c r="B2256" i="4"/>
  <c r="B2268" i="4"/>
  <c r="E2271" i="4" s="1"/>
  <c r="E2275" i="4" s="1"/>
  <c r="I2318" i="4"/>
  <c r="I2320" i="4" s="1"/>
  <c r="C2288" i="4" a="1"/>
  <c r="E2288" i="4" a="1"/>
  <c r="I2321" i="4" a="1"/>
  <c r="C2288" i="4" l="1"/>
  <c r="E2288" i="4"/>
  <c r="F2307" i="4"/>
  <c r="I2321" i="4"/>
  <c r="I2317" i="4" s="1"/>
  <c r="E2289" i="4" a="1"/>
  <c r="C2289" i="4" a="1"/>
  <c r="F2318" i="4" a="1"/>
  <c r="E2338" i="4" l="1"/>
  <c r="E2339" i="4"/>
  <c r="E2340" i="4"/>
  <c r="E2341" i="4"/>
  <c r="C2289" i="4"/>
  <c r="F2318" i="4"/>
  <c r="F2320" i="4" s="1"/>
  <c r="E2289" i="4"/>
  <c r="F2321" i="4" a="1"/>
  <c r="B2291" i="4" l="1"/>
  <c r="E2301" i="4" s="1"/>
  <c r="B2303" i="4" s="1"/>
  <c r="F2321" i="4"/>
  <c r="F2317" i="4" s="1"/>
  <c r="B2292" i="4" a="1"/>
  <c r="B2304" i="4" a="1"/>
  <c r="E2327" i="4" l="1"/>
  <c r="E2326" i="4"/>
  <c r="E2328" i="4"/>
  <c r="E2329" i="4"/>
  <c r="B2292" i="4"/>
  <c r="B2304" i="4"/>
  <c r="E2307" i="4" s="1"/>
  <c r="E2318" i="4" a="1"/>
  <c r="E2318" i="4" l="1"/>
  <c r="C8" i="5" l="1"/>
  <c r="E2320" i="4"/>
  <c r="E2321" i="4" a="1"/>
  <c r="E2321" i="4" l="1"/>
  <c r="E2317" i="4" s="1"/>
  <c r="E2322" i="4" l="1"/>
  <c r="E2323" i="4"/>
  <c r="E2324" i="4"/>
  <c r="E2325" i="4"/>
  <c r="C4" i="5"/>
  <c r="C5" i="5"/>
  <c r="C3" i="5"/>
  <c r="C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tc={DC7C7711-2C84-4DED-A4B8-91525FF2BCB7}</author>
    <author>tc={609A6ECD-B9F0-43E1-8B80-8052125AD197}</author>
  </authors>
  <commentList>
    <comment ref="F8" authorId="0" shapeId="0" xr:uid="{DC7C7711-2C84-4DED-A4B8-91525FF2BCB7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O coeficiente de correlação:
1=&gt; Correlação positiva perfeita.
 0,7 a 0,9 =&gt; Forte.
 0,3 a 0,6=&gt; Moderada.
0 =&gt; Nenhuma correlação linear.
 -0,7 a -0,9=&gt; Forte negativa.
1=&gt; Correlação negativa perfeita.
</t>
      </text>
    </comment>
    <comment ref="G11" authorId="1" shapeId="0" xr:uid="{609A6ECD-B9F0-43E1-8B80-8052125AD197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Um byte da imagem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<sst xmlns="http://schemas.openxmlformats.org/spreadsheetml/2006/main" count="4269" uniqueCount="486">
  <si>
    <t>BSIG0(x) = ROTR^2(x) XOR ROTR^13(x) XOR ROTR^22(x)</t>
  </si>
  <si>
    <t xml:space="preserve">ROTR^2(x) </t>
  </si>
  <si>
    <t xml:space="preserve">ROTR^13(x) </t>
  </si>
  <si>
    <t>ROTR^22(x)</t>
  </si>
  <si>
    <t>BSIG0(x) =</t>
  </si>
  <si>
    <t>x=</t>
  </si>
  <si>
    <t>RotR</t>
  </si>
  <si>
    <t>Password:</t>
  </si>
  <si>
    <t>a</t>
  </si>
  <si>
    <t>Codigo ASCII 1:</t>
  </si>
  <si>
    <t>Codigo ASCII 2:</t>
  </si>
  <si>
    <t>Codigo ASCII 3:</t>
  </si>
  <si>
    <t>Codigo ASCII 4:</t>
  </si>
  <si>
    <t>Codigo ASCII 5:</t>
  </si>
  <si>
    <t>Codigo ASCII 6:</t>
  </si>
  <si>
    <t>Codigo ASCII 7:</t>
  </si>
  <si>
    <t>Codigo ASCII 8:</t>
  </si>
  <si>
    <t>Codigo ASCII 9:</t>
  </si>
  <si>
    <t>Codigo ASCII 10:</t>
  </si>
  <si>
    <t>Codigo ASCII 11:</t>
  </si>
  <si>
    <t>Codigo ASCII 12:</t>
  </si>
  <si>
    <t>Codigo ASCII 13:</t>
  </si>
  <si>
    <t>Codigo ASCII 14:</t>
  </si>
  <si>
    <t>Codigo ASCII 15:</t>
  </si>
  <si>
    <t>Codigo ASCII 16:</t>
  </si>
  <si>
    <t>Codigo ASCII 17:</t>
  </si>
  <si>
    <t>Codigo ASCII 18:</t>
  </si>
  <si>
    <t>Codigo ASCII 19:</t>
  </si>
  <si>
    <t>Codigo ASCII 20:</t>
  </si>
  <si>
    <t>b</t>
  </si>
  <si>
    <t>c</t>
  </si>
  <si>
    <t>d</t>
  </si>
  <si>
    <t>.</t>
  </si>
  <si>
    <t>_</t>
  </si>
  <si>
    <t>g</t>
  </si>
  <si>
    <t>p</t>
  </si>
  <si>
    <t>X=</t>
  </si>
  <si>
    <t>ROTR^13(x)</t>
  </si>
  <si>
    <t>BSIG1(x) = ROTR^6(x) XOR ROTR^11(x) XOR ROTR^25(x)</t>
  </si>
  <si>
    <t>ROTR^6(x)</t>
  </si>
  <si>
    <t>ROTR^11(x)</t>
  </si>
  <si>
    <t>ROTR^25(x)</t>
  </si>
  <si>
    <t xml:space="preserve">BSIG1(x) = </t>
  </si>
  <si>
    <t>SSIG0(x) = ROTR^7(x) XOR ROTR^18(x) XOR SHR^3(x)</t>
  </si>
  <si>
    <t>Msg</t>
  </si>
  <si>
    <t>00000000</t>
  </si>
  <si>
    <t>K</t>
  </si>
  <si>
    <t>428a2f98</t>
  </si>
  <si>
    <t>b5c0fbcf</t>
  </si>
  <si>
    <t>e9b5dba5</t>
  </si>
  <si>
    <t>3956c25b</t>
  </si>
  <si>
    <t>59f111f1</t>
  </si>
  <si>
    <t>923f82a4</t>
  </si>
  <si>
    <t>ab1c5ed5</t>
  </si>
  <si>
    <t>d807aa98</t>
  </si>
  <si>
    <t>12835b01</t>
  </si>
  <si>
    <t>243185be</t>
  </si>
  <si>
    <t>550c7dc3</t>
  </si>
  <si>
    <t>72be5d74</t>
  </si>
  <si>
    <t>80deb1fe</t>
  </si>
  <si>
    <t>9bdc06a7</t>
  </si>
  <si>
    <t>c19bf174</t>
  </si>
  <si>
    <t>e49b69c1</t>
  </si>
  <si>
    <t>efbe4786</t>
  </si>
  <si>
    <t>0fc19dc6</t>
  </si>
  <si>
    <t>240ca1cc</t>
  </si>
  <si>
    <t>2de92c6f</t>
  </si>
  <si>
    <t>4a7484aa</t>
  </si>
  <si>
    <t>5cb0a9dc</t>
  </si>
  <si>
    <t>76f988da</t>
  </si>
  <si>
    <t>983e5152</t>
  </si>
  <si>
    <t>a831c66d</t>
  </si>
  <si>
    <t>b00327c8</t>
  </si>
  <si>
    <t>bf597fc7</t>
  </si>
  <si>
    <t>c6e00bf3</t>
  </si>
  <si>
    <t>d5a79147</t>
  </si>
  <si>
    <t>06ca6351</t>
  </si>
  <si>
    <t>27b70a85</t>
  </si>
  <si>
    <t>2e1b2138</t>
  </si>
  <si>
    <t>4d2c6dfc</t>
  </si>
  <si>
    <t>53380d13</t>
  </si>
  <si>
    <t>650a7354</t>
  </si>
  <si>
    <t>766a0abb</t>
  </si>
  <si>
    <t>81c2c92e</t>
  </si>
  <si>
    <t>92722c85</t>
  </si>
  <si>
    <t>a2bfe8a1</t>
  </si>
  <si>
    <t>a81a664b</t>
  </si>
  <si>
    <t>c24b8b70</t>
  </si>
  <si>
    <t>c76c51a3</t>
  </si>
  <si>
    <t>d192e819</t>
  </si>
  <si>
    <t>d6990624</t>
  </si>
  <si>
    <t>f40e3585</t>
  </si>
  <si>
    <t>106aa070</t>
  </si>
  <si>
    <t>19a4c116</t>
  </si>
  <si>
    <t>1e376c08</t>
  </si>
  <si>
    <t>2748774c</t>
  </si>
  <si>
    <t>34b0bcb5</t>
  </si>
  <si>
    <t>391c0cb3</t>
  </si>
  <si>
    <t>4ed8aa4a</t>
  </si>
  <si>
    <t>5b9cca4f</t>
  </si>
  <si>
    <t>682e6ff3</t>
  </si>
  <si>
    <t>748f82ee</t>
  </si>
  <si>
    <t>78a5636f</t>
  </si>
  <si>
    <t>84c87814</t>
  </si>
  <si>
    <t>8cc70208</t>
  </si>
  <si>
    <t>90befffa</t>
  </si>
  <si>
    <t>a4506ceb</t>
  </si>
  <si>
    <t>bef9a3f7</t>
  </si>
  <si>
    <t>c67178f2</t>
  </si>
  <si>
    <t>6a09e667</t>
  </si>
  <si>
    <t>bb67ae85</t>
  </si>
  <si>
    <t>3c6ef372</t>
  </si>
  <si>
    <t>a54ff53a</t>
  </si>
  <si>
    <t>510e527f</t>
  </si>
  <si>
    <t>9b05688c</t>
  </si>
  <si>
    <t>1f83d9ab</t>
  </si>
  <si>
    <t>5be0cd19</t>
  </si>
  <si>
    <t>H0</t>
  </si>
  <si>
    <t>H1</t>
  </si>
  <si>
    <t>H2</t>
  </si>
  <si>
    <t>H3</t>
  </si>
  <si>
    <t>H4</t>
  </si>
  <si>
    <t>H5</t>
  </si>
  <si>
    <t>H6</t>
  </si>
  <si>
    <t>H7</t>
  </si>
  <si>
    <t>71374491</t>
  </si>
  <si>
    <t>14292967</t>
  </si>
  <si>
    <t>Estado inicial do hash</t>
  </si>
  <si>
    <t>(antes de qualquer iteração)</t>
  </si>
  <si>
    <t>M</t>
  </si>
  <si>
    <t>W</t>
  </si>
  <si>
    <t>SSIG1(x) = ROTR^17(x) XOR ROTR^19(x) XOR SHR^10(x)</t>
  </si>
  <si>
    <t>Começa em 16 e vai até 63</t>
  </si>
  <si>
    <t>binario</t>
  </si>
  <si>
    <t>o W real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</si>
  <si>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</si>
  <si>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</si>
  <si>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</si>
  <si>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</si>
  <si>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</si>
  <si>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</si>
  <si>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</si>
  <si>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</si>
  <si>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</si>
  <si>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</si>
  <si>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</si>
  <si>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</si>
  <si>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</si>
  <si>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</si>
  <si>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</si>
  <si>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</si>
  <si>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</si>
  <si>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</si>
  <si>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</si>
  <si>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</si>
  <si>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</si>
  <si>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</si>
  <si>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</si>
  <si>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</si>
  <si>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</si>
  <si>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</si>
  <si>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</si>
  <si>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</si>
  <si>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</si>
  <si>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</si>
  <si>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</si>
  <si>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</si>
  <si>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</si>
  <si>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</si>
  <si>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</si>
  <si>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</si>
  <si>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</si>
  <si>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W53</t>
  </si>
  <si>
    <t>W54</t>
  </si>
  <si>
    <t>W55</t>
  </si>
  <si>
    <t>W56</t>
  </si>
  <si>
    <t>W57</t>
  </si>
  <si>
    <t>W58</t>
  </si>
  <si>
    <t>W59</t>
  </si>
  <si>
    <t>W60</t>
  </si>
  <si>
    <t>W61</t>
  </si>
  <si>
    <t>W62</t>
  </si>
  <si>
    <t>W63</t>
  </si>
  <si>
    <t>+</t>
  </si>
  <si>
    <t>W9</t>
  </si>
  <si>
    <t>W10</t>
  </si>
  <si>
    <t>W11</t>
  </si>
  <si>
    <t>W12</t>
  </si>
  <si>
    <t>W13</t>
  </si>
  <si>
    <t>W14</t>
  </si>
  <si>
    <t>W15</t>
  </si>
  <si>
    <t>SSIG0(t-15)</t>
  </si>
  <si>
    <t>W1</t>
  </si>
  <si>
    <t>W2</t>
  </si>
  <si>
    <t>W3</t>
  </si>
  <si>
    <t>W4</t>
  </si>
  <si>
    <t>W5</t>
  </si>
  <si>
    <t>W6</t>
  </si>
  <si>
    <t>W7</t>
  </si>
  <si>
    <t>W8</t>
  </si>
  <si>
    <t>SSIG1(W(t-2))</t>
  </si>
  <si>
    <t>W(t-7)</t>
  </si>
  <si>
    <t>Wt =</t>
  </si>
  <si>
    <t>SSIG1(W(14))=</t>
  </si>
  <si>
    <t>ROTR^17(x)</t>
  </si>
  <si>
    <t>ROTR^19(x)</t>
  </si>
  <si>
    <t>SHR^10(x)</t>
  </si>
  <si>
    <t>SSIG0(x) = ROTR^1(x) XOR ROTR^8(x) XOR SHR^7(x)</t>
  </si>
  <si>
    <t>ROTR^1(x)</t>
  </si>
  <si>
    <t>ROTR^8(x)</t>
  </si>
  <si>
    <t>SHR^7(x)</t>
  </si>
  <si>
    <t>SSIG0(W1)=</t>
  </si>
  <si>
    <t>W16 =</t>
  </si>
  <si>
    <t>hexa =</t>
  </si>
  <si>
    <t>SSIG1(W(15))=</t>
  </si>
  <si>
    <t>W17=</t>
  </si>
  <si>
    <t>SSIG1(W(16))=</t>
  </si>
  <si>
    <t>SSIG0(W2)=</t>
  </si>
  <si>
    <t>SSIG0(W3)=</t>
  </si>
  <si>
    <t>SSIG0(W4)=</t>
  </si>
  <si>
    <t>SSIG1(W(19))=</t>
  </si>
  <si>
    <t>e</t>
  </si>
  <si>
    <t>f</t>
  </si>
  <si>
    <t>h</t>
  </si>
  <si>
    <t>inicial</t>
  </si>
  <si>
    <t>Final</t>
  </si>
  <si>
    <t>inicial a partir de H</t>
  </si>
  <si>
    <t>T1</t>
  </si>
  <si>
    <t>BITS</t>
  </si>
  <si>
    <t>W18=</t>
  </si>
  <si>
    <t>W19=</t>
  </si>
  <si>
    <t>SSIG1(W(17))=</t>
  </si>
  <si>
    <t>SSIG1(W(18))=</t>
  </si>
  <si>
    <t>SSIG0(W5)=</t>
  </si>
  <si>
    <t>W20=</t>
  </si>
  <si>
    <t>W21=</t>
  </si>
  <si>
    <t>SSIG0(W6)=</t>
  </si>
  <si>
    <t>SSIG1(W(20))=</t>
  </si>
  <si>
    <t>SSIG0(W7)=</t>
  </si>
  <si>
    <t>W22=</t>
  </si>
  <si>
    <t>W23=</t>
  </si>
  <si>
    <t>SSIG1(W(21))=</t>
  </si>
  <si>
    <t>SSIG0(W8)=</t>
  </si>
  <si>
    <t>SSIG1(W(22))=</t>
  </si>
  <si>
    <t>SSIG0(W9)=</t>
  </si>
  <si>
    <t>SSIG1(W(23))=</t>
  </si>
  <si>
    <t>SSIG0(W10)=</t>
  </si>
  <si>
    <t>SSIG1(W(24))=</t>
  </si>
  <si>
    <t>SSIG0(W11)=</t>
  </si>
  <si>
    <t>W24=</t>
  </si>
  <si>
    <t>SSIG1(W(25))=</t>
  </si>
  <si>
    <t>SSIG0(W12)=</t>
  </si>
  <si>
    <t>W25=</t>
  </si>
  <si>
    <t>SSIG1(W(26))=</t>
  </si>
  <si>
    <t>SSIG0(W13)=</t>
  </si>
  <si>
    <t>W26=</t>
  </si>
  <si>
    <t>SSIG1(W(27))=</t>
  </si>
  <si>
    <t>SSIG0(W14)=</t>
  </si>
  <si>
    <t>W27=</t>
  </si>
  <si>
    <t>SSIG1(W(28))=</t>
  </si>
  <si>
    <t>SSIG0(W15)=</t>
  </si>
  <si>
    <t>W28=</t>
  </si>
  <si>
    <t>SSIG1(W(29))=</t>
  </si>
  <si>
    <t>SSIG0(W16)=</t>
  </si>
  <si>
    <t>SSIG1(W(30))=</t>
  </si>
  <si>
    <t>SSIG0(W17)=</t>
  </si>
  <si>
    <t>W29=</t>
  </si>
  <si>
    <t>SSIG1(W(31))=</t>
  </si>
  <si>
    <t>SSIG0(W18)=</t>
  </si>
  <si>
    <t>W31=</t>
  </si>
  <si>
    <t>W30=</t>
  </si>
  <si>
    <t>SSIG1(W(32))=</t>
  </si>
  <si>
    <t>SSIG0(W19)=</t>
  </si>
  <si>
    <t>W32=</t>
  </si>
  <si>
    <t>SSIG1(W(33))=</t>
  </si>
  <si>
    <t>SSIG0(W20)=</t>
  </si>
  <si>
    <t>SSIG1(W(34))=</t>
  </si>
  <si>
    <t>SSIG0(W21)=</t>
  </si>
  <si>
    <t>W33=</t>
  </si>
  <si>
    <t>W34=</t>
  </si>
  <si>
    <t>W35=</t>
  </si>
  <si>
    <t>SSIG1(W(35))=</t>
  </si>
  <si>
    <t>SSIG0(W22)=</t>
  </si>
  <si>
    <t>SSIG1(W(36))=</t>
  </si>
  <si>
    <t>SSIG0(W23)=</t>
  </si>
  <si>
    <t>SSIG1(W(37))=</t>
  </si>
  <si>
    <t>W37=</t>
  </si>
  <si>
    <t>W36=</t>
  </si>
  <si>
    <t>SSIG0(W24)=</t>
  </si>
  <si>
    <t>SSIG1(W(38))=</t>
  </si>
  <si>
    <t>SSIG0(W25)=</t>
  </si>
  <si>
    <t>W38=</t>
  </si>
  <si>
    <t>W39=</t>
  </si>
  <si>
    <t>W40=</t>
  </si>
  <si>
    <t>W41=</t>
  </si>
  <si>
    <t>SSIG1(W(39))=</t>
  </si>
  <si>
    <t>SSIG0(W26)=</t>
  </si>
  <si>
    <t>W42=</t>
  </si>
  <si>
    <t>SSIG1(W(40))=</t>
  </si>
  <si>
    <t>SSIG0(W27)=</t>
  </si>
  <si>
    <t>SSIG1(W(41))=</t>
  </si>
  <si>
    <t>SSIG0(W28)=</t>
  </si>
  <si>
    <t>W43=</t>
  </si>
  <si>
    <t>SSIG1(W(42))=</t>
  </si>
  <si>
    <t>SSIG0(W29)=</t>
  </si>
  <si>
    <t>W44=</t>
  </si>
  <si>
    <t>SSIG1(W(43))=</t>
  </si>
  <si>
    <t>W45=</t>
  </si>
  <si>
    <t>W46=</t>
  </si>
  <si>
    <t>SSIG1(W(44))=</t>
  </si>
  <si>
    <t>SSIG0(W31)=</t>
  </si>
  <si>
    <t>SSIG0(W30)=</t>
  </si>
  <si>
    <t>SSIG1(W(45))=</t>
  </si>
  <si>
    <t>SSIG0(W32)=</t>
  </si>
  <si>
    <t>SSIG1(W(46))=</t>
  </si>
  <si>
    <t>SSIG0(W33)=</t>
  </si>
  <si>
    <t>W48=</t>
  </si>
  <si>
    <t>W47=</t>
  </si>
  <si>
    <t>SSIG1(W(47))=</t>
  </si>
  <si>
    <t>SSIG0(W34)=</t>
  </si>
  <si>
    <t>W49=</t>
  </si>
  <si>
    <t>SSIG1(W(48))=</t>
  </si>
  <si>
    <t>SSIG0(W35)=</t>
  </si>
  <si>
    <t>W50=</t>
  </si>
  <si>
    <t>SSIG1(W(49))=</t>
  </si>
  <si>
    <t>SSIG0(W36)=</t>
  </si>
  <si>
    <t>W51=</t>
  </si>
  <si>
    <t>SSIG1(W(50))=</t>
  </si>
  <si>
    <t>SSIG0(W37)=</t>
  </si>
  <si>
    <t>SSIG1(W(51))=</t>
  </si>
  <si>
    <t>W53=</t>
  </si>
  <si>
    <t>W52=</t>
  </si>
  <si>
    <t>SSIG0(W38)=</t>
  </si>
  <si>
    <t>SSIG1(W(52))=</t>
  </si>
  <si>
    <t>W54=</t>
  </si>
  <si>
    <t>SSIG0(W39)=</t>
  </si>
  <si>
    <t>SSIG1(W(53))=</t>
  </si>
  <si>
    <t>SSIG0(W40)=</t>
  </si>
  <si>
    <t>W55=</t>
  </si>
  <si>
    <t>SSIG1(W(54))=</t>
  </si>
  <si>
    <t>W56=</t>
  </si>
  <si>
    <t>SSIG0(W41)=</t>
  </si>
  <si>
    <t>SSIG1(W(55))=</t>
  </si>
  <si>
    <t>W57=</t>
  </si>
  <si>
    <t>SSIG0(W42)=</t>
  </si>
  <si>
    <t>SSIG1(W(56))=</t>
  </si>
  <si>
    <t>SSIG0(W43)=</t>
  </si>
  <si>
    <t>W58=</t>
  </si>
  <si>
    <t>SSIG1(W(57))=</t>
  </si>
  <si>
    <t>W59=</t>
  </si>
  <si>
    <t>SSIG0(W44)=</t>
  </si>
  <si>
    <t>SSIG1(W(58))=</t>
  </si>
  <si>
    <t>W60=</t>
  </si>
  <si>
    <t>SSIG0(W45)=</t>
  </si>
  <si>
    <t>SSIG1(W(59))=</t>
  </si>
  <si>
    <t>SSIG0(W46)=</t>
  </si>
  <si>
    <t>W61=</t>
  </si>
  <si>
    <t>SSIG1(W(60))=</t>
  </si>
  <si>
    <t>SSIG0(W47)=</t>
  </si>
  <si>
    <t>W62=</t>
  </si>
  <si>
    <t>SSIG1(W(61))=</t>
  </si>
  <si>
    <t>W63=</t>
  </si>
  <si>
    <t>SSIG0(W48)=</t>
  </si>
  <si>
    <t>T1 =</t>
  </si>
  <si>
    <t>T1=</t>
  </si>
  <si>
    <t>BSIG1(e)</t>
  </si>
  <si>
    <t>CH(e,f,g)</t>
  </si>
  <si>
    <t>Kt</t>
  </si>
  <si>
    <t>Wt</t>
  </si>
  <si>
    <t>HEX</t>
  </si>
  <si>
    <t>BIN</t>
  </si>
  <si>
    <t>BSIG0(a)</t>
  </si>
  <si>
    <t>MAJ(a,b,c)</t>
  </si>
  <si>
    <t>T2=</t>
  </si>
  <si>
    <t>e=</t>
  </si>
  <si>
    <t>hex</t>
  </si>
  <si>
    <t>a=</t>
  </si>
  <si>
    <t>t1</t>
  </si>
  <si>
    <t>t2</t>
  </si>
  <si>
    <t xml:space="preserve">Iteração </t>
  </si>
  <si>
    <t>t=</t>
  </si>
  <si>
    <t>Resultado</t>
  </si>
  <si>
    <t>W(t-16)</t>
  </si>
  <si>
    <t>w0=</t>
  </si>
  <si>
    <t>w1=</t>
  </si>
  <si>
    <t>w2=</t>
  </si>
  <si>
    <t>w3=</t>
  </si>
  <si>
    <t>w4=</t>
  </si>
  <si>
    <t>w5=</t>
  </si>
  <si>
    <t>w6=</t>
  </si>
  <si>
    <t>w7=</t>
  </si>
  <si>
    <t>w8=</t>
  </si>
  <si>
    <t>w9=</t>
  </si>
  <si>
    <t>w10=</t>
  </si>
  <si>
    <t>w11=</t>
  </si>
  <si>
    <t>w12=</t>
  </si>
  <si>
    <t>w13=</t>
  </si>
  <si>
    <t>w14=</t>
  </si>
  <si>
    <t>w15=</t>
  </si>
  <si>
    <t>w16=</t>
  </si>
  <si>
    <t>w17=</t>
  </si>
  <si>
    <t>w18=</t>
  </si>
  <si>
    <t>w19=</t>
  </si>
  <si>
    <t>w20=</t>
  </si>
  <si>
    <t>w21=</t>
  </si>
  <si>
    <t>w22=</t>
  </si>
  <si>
    <t>w23=</t>
  </si>
  <si>
    <t>w24=</t>
  </si>
  <si>
    <t>w25=</t>
  </si>
  <si>
    <t>w26=</t>
  </si>
  <si>
    <t>w27=</t>
  </si>
  <si>
    <t>w28=</t>
  </si>
  <si>
    <t>w29=</t>
  </si>
  <si>
    <t>w30=</t>
  </si>
  <si>
    <t>w31=</t>
  </si>
  <si>
    <t>w32=</t>
  </si>
  <si>
    <t>w33=</t>
  </si>
  <si>
    <t>w34=</t>
  </si>
  <si>
    <t>w35=</t>
  </si>
  <si>
    <t>w36=</t>
  </si>
  <si>
    <t>w37=</t>
  </si>
  <si>
    <t>w39=</t>
  </si>
  <si>
    <t>w38=</t>
  </si>
  <si>
    <t>w40=</t>
  </si>
  <si>
    <t>w41=</t>
  </si>
  <si>
    <t>w42=</t>
  </si>
  <si>
    <t>w43=</t>
  </si>
  <si>
    <t>w44=</t>
  </si>
  <si>
    <t>w45=</t>
  </si>
  <si>
    <t>w46=</t>
  </si>
  <si>
    <t>w47=</t>
  </si>
  <si>
    <t xml:space="preserve">Chaves para teste </t>
  </si>
  <si>
    <t>abc</t>
  </si>
  <si>
    <t>Hash esperado</t>
  </si>
  <si>
    <t>ba7816bf8f01cfea414140de5dae2223b00361a396177a9cb410ff61f20015ad</t>
  </si>
  <si>
    <t>password</t>
  </si>
  <si>
    <t>5e884898da28047151d0e56f8dc6292773603d0d6aabbdd62a11ef721d1542d8</t>
  </si>
  <si>
    <t>Hello World</t>
  </si>
  <si>
    <t>a591a6d40bf420404a011733cfb7b190d62c65bf0bcda32b57b277d9ad9f146e</t>
  </si>
  <si>
    <t>teste</t>
  </si>
  <si>
    <t>Teste de Sensibilidade (Avalanche Effect)</t>
  </si>
  <si>
    <t>Testes Básicos</t>
  </si>
  <si>
    <t>46070d4bf934fb0d4b06d9e2c46e346944e322444900a435d7d9a95e6d7435f5</t>
  </si>
  <si>
    <t>tdste</t>
  </si>
  <si>
    <t>2340f43d006d6f8284ba7ca42fc8dd1e5a10fb4d8d84de79330a38357cd60dd1</t>
  </si>
  <si>
    <t>tesue</t>
  </si>
  <si>
    <t>251f23e89f0c25c90e0041808050dc000e56baa2275abfc2c4e9a82bfdb26f03</t>
  </si>
  <si>
    <t>x</t>
  </si>
  <si>
    <t>y0</t>
  </si>
  <si>
    <t>=SE($L$1&gt;=L$2+$K3;CÓDIGO(SEG.TEXTO($C$1;L$2+$K3;1));0)</t>
  </si>
  <si>
    <t>segredo</t>
  </si>
  <si>
    <t>palpite</t>
  </si>
  <si>
    <t>corresp</t>
  </si>
  <si>
    <t>complementar do palpite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</si>
  <si>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</si>
  <si>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</si>
  <si>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</si>
  <si>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</si>
  <si>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</si>
  <si>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</si>
  <si>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</si>
  <si>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</si>
  <si>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</si>
  <si>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</si>
  <si>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</si>
  <si>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</si>
  <si>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</si>
  <si>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</si>
  <si>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</si>
  <si>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</si>
  <si>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</si>
  <si>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</si>
  <si>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</si>
  <si>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</si>
  <si>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</si>
  <si>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</si>
  <si>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</si>
  <si>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</si>
  <si>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</si>
  <si>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</si>
  <si>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</si>
  <si>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</si>
  <si>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y29</t>
  </si>
  <si>
    <t>y30</t>
  </si>
  <si>
    <t>y31</t>
  </si>
  <si>
    <t>r=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</si>
</sst>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theme="1"/>
      <name val="Consolas"/>
      <family val="3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rgb="FF212529"/>
      <name val="Consolas"/>
      <family val="3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Consolas"/>
      <family val="3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0" borderId="0" xfId="0" applyFont="1"/>
    <xf numFmtId="0" fontId="4" fillId="0" borderId="0" xfId="0" applyFont="1" applyAlignment="1">
      <alignment vertical="center"/>
    </xf>
    <xf numFmtId="0" fontId="5" fillId="8" borderId="0" xfId="0" applyFont="1" applyFill="1"/>
    <xf numFmtId="0" fontId="5" fillId="0" borderId="0" xfId="0" applyFont="1"/>
    <xf numFmtId="11" fontId="1" fillId="0" borderId="0" xfId="0" applyNumberFormat="1" applyFont="1"/>
    <xf numFmtId="0" fontId="1" fillId="0" borderId="0" xfId="0" quotePrefix="1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0" borderId="0" xfId="0" quotePrefix="1"/>
    <xf numFmtId="0" fontId="6" fillId="0" borderId="0" xfId="0" applyFont="1"/>
    <xf numFmtId="0" fontId="6" fillId="0" borderId="0" xfId="0" quotePrefix="1" applyFont="1"/>
    <xf numFmtId="0" fontId="6" fillId="2" borderId="0" xfId="0" applyFont="1" applyFill="1"/>
    <xf numFmtId="0" fontId="1" fillId="2" borderId="0" xfId="0" applyFont="1" applyFill="1"/>
    <xf numFmtId="0" fontId="1" fillId="2" borderId="0" xfId="0" quotePrefix="1" applyFont="1" applyFill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" xfId="0" applyBorder="1"/>
    <xf numFmtId="11" fontId="0" fillId="0" borderId="1" xfId="0" applyNumberFormat="1" applyBorder="1"/>
    <xf numFmtId="0" fontId="2" fillId="0" borderId="0" xfId="0" quotePrefix="1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2" borderId="0" xfId="0" applyFill="1" applyAlignment="1">
      <alignment horizontal="left"/>
    </xf>
    <xf numFmtId="17" fontId="7" fillId="0" borderId="0" xfId="1" applyNumberFormat="1"/>
    <xf numFmtId="11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</cellXfs>
  <cellStyles count="2">
    <cellStyle name="Hiperligaçã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5</xdr:row>
      <xdr:rowOff>99060</xdr:rowOff>
    </xdr:from>
    <xdr:to>
      <xdr:col>2</xdr:col>
      <xdr:colOff>60960</xdr:colOff>
      <xdr:row>9</xdr:row>
      <xdr:rowOff>175260</xdr:rowOff>
    </xdr:to>
    <xdr:cxnSp macro="">
      <xdr:nvCxnSpPr>
        <xdr:cNvPr id="3" name="Conexão reta unidirecional 2">
          <a:extLst>
            <a:ext uri="{FF2B5EF4-FFF2-40B4-BE49-F238E27FC236}">
              <a16:creationId xmlns:a16="http://schemas.microsoft.com/office/drawing/2014/main" id="{087656D3-7921-4CFD-6221-DFE1100D0514}"/>
            </a:ext>
          </a:extLst>
        </xdr:cNvPr>
        <xdr:cNvCxnSpPr/>
      </xdr:nvCxnSpPr>
      <xdr:spPr>
        <a:xfrm flipH="1">
          <a:off x="1272540" y="1013460"/>
          <a:ext cx="7620" cy="8077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251460</xdr:colOff>
      <xdr:row>53</xdr:row>
      <xdr:rowOff>45720</xdr:rowOff>
    </xdr:from>
    <xdr:to>
      <xdr:col>1</xdr:col>
      <xdr:colOff>251460</xdr:colOff>
      <xdr:row>55</xdr:row>
      <xdr:rowOff>106680</xdr:rowOff>
    </xdr:to>
    <xdr:cxnSp macro="">
      <xdr:nvCxnSpPr>
        <xdr:cNvPr id="3" name="Conexão reta unidirecional 2">
          <a:extLst>
            <a:ext uri="{FF2B5EF4-FFF2-40B4-BE49-F238E27FC236}">
              <a16:creationId xmlns:a16="http://schemas.microsoft.com/office/drawing/2014/main" id="{595157E9-2564-3681-E066-14CFCD5C0A46}"/>
            </a:ext>
          </a:extLst>
        </xdr:cNvPr>
        <xdr:cNvCxnSpPr/>
      </xdr:nvCxnSpPr>
      <xdr:spPr>
        <a:xfrm>
          <a:off x="861060" y="9738360"/>
          <a:ext cx="0" cy="4267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55</xdr:row>
      <xdr:rowOff>15240</xdr:rowOff>
    </xdr:from>
    <xdr:to>
      <xdr:col>2</xdr:col>
      <xdr:colOff>198120</xdr:colOff>
      <xdr:row>56</xdr:row>
      <xdr:rowOff>15240</xdr:rowOff>
    </xdr:to>
    <xdr:cxnSp macro="">
      <xdr:nvCxnSpPr>
        <xdr:cNvPr id="5" name="Conexão reta unidirecional 4">
          <a:extLst>
            <a:ext uri="{FF2B5EF4-FFF2-40B4-BE49-F238E27FC236}">
              <a16:creationId xmlns:a16="http://schemas.microsoft.com/office/drawing/2014/main" id="{F2F14535-140A-E320-5557-FEE167155041}"/>
            </a:ext>
          </a:extLst>
        </xdr:cNvPr>
        <xdr:cNvCxnSpPr/>
      </xdr:nvCxnSpPr>
      <xdr:spPr>
        <a:xfrm>
          <a:off x="1417320" y="10073640"/>
          <a:ext cx="0" cy="18288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213360</xdr:colOff>
      <xdr:row>55</xdr:row>
      <xdr:rowOff>30480</xdr:rowOff>
    </xdr:from>
    <xdr:to>
      <xdr:col>0</xdr:col>
      <xdr:colOff>213360</xdr:colOff>
      <xdr:row>56</xdr:row>
      <xdr:rowOff>0</xdr:rowOff>
    </xdr:to>
    <xdr:cxnSp macro="">
      <xdr:nvCxnSpPr>
        <xdr:cNvPr id="7" name="Conexão reta unidirecional 6">
          <a:extLst>
            <a:ext uri="{FF2B5EF4-FFF2-40B4-BE49-F238E27FC236}">
              <a16:creationId xmlns:a16="http://schemas.microsoft.com/office/drawing/2014/main" id="{F6204103-174A-05C9-9E6F-5963AA75C19A}"/>
            </a:ext>
          </a:extLst>
        </xdr:cNvPr>
        <xdr:cNvCxnSpPr/>
      </xdr:nvCxnSpPr>
      <xdr:spPr>
        <a:xfrm>
          <a:off x="213360" y="10088880"/>
          <a:ext cx="0" cy="1524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175260</xdr:colOff>
      <xdr:row>53</xdr:row>
      <xdr:rowOff>38100</xdr:rowOff>
    </xdr:from>
    <xdr:to>
      <xdr:col>7</xdr:col>
      <xdr:colOff>182880</xdr:colOff>
      <xdr:row>55</xdr:row>
      <xdr:rowOff>152400</xdr:rowOff>
    </xdr:to>
    <xdr:cxnSp macro="">
      <xdr:nvCxnSpPr>
        <xdr:cNvPr id="9" name="Conexão reta unidirecional 8">
          <a:extLst>
            <a:ext uri="{FF2B5EF4-FFF2-40B4-BE49-F238E27FC236}">
              <a16:creationId xmlns:a16="http://schemas.microsoft.com/office/drawing/2014/main" id="{3D9DFD0A-F1E2-F32E-D1D4-76B877EE0655}"/>
            </a:ext>
          </a:extLst>
        </xdr:cNvPr>
        <xdr:cNvCxnSpPr/>
      </xdr:nvCxnSpPr>
      <xdr:spPr>
        <a:xfrm>
          <a:off x="5364480" y="9730740"/>
          <a:ext cx="7620" cy="48006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68580</xdr:colOff>
      <xdr:row>53</xdr:row>
      <xdr:rowOff>30480</xdr:rowOff>
    </xdr:from>
    <xdr:to>
      <xdr:col>13</xdr:col>
      <xdr:colOff>76200</xdr:colOff>
      <xdr:row>55</xdr:row>
      <xdr:rowOff>144780</xdr:rowOff>
    </xdr:to>
    <xdr:cxnSp macro="">
      <xdr:nvCxnSpPr>
        <xdr:cNvPr id="4" name="Conexão reta unidirecional 3">
          <a:extLst>
            <a:ext uri="{FF2B5EF4-FFF2-40B4-BE49-F238E27FC236}">
              <a16:creationId xmlns:a16="http://schemas.microsoft.com/office/drawing/2014/main" id="{976113CC-8D93-45EB-8E34-902742EE48A3}"/>
            </a:ext>
          </a:extLst>
        </xdr:cNvPr>
        <xdr:cNvCxnSpPr/>
      </xdr:nvCxnSpPr>
      <xdr:spPr>
        <a:xfrm>
          <a:off x="9395460" y="9723120"/>
          <a:ext cx="7620" cy="48006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281940</xdr:colOff>
      <xdr:row>53</xdr:row>
      <xdr:rowOff>83820</xdr:rowOff>
    </xdr:from>
    <xdr:to>
      <xdr:col>21</xdr:col>
      <xdr:colOff>289560</xdr:colOff>
      <xdr:row>64</xdr:row>
      <xdr:rowOff>152400</xdr:rowOff>
    </xdr:to>
    <xdr:cxnSp macro="">
      <xdr:nvCxnSpPr>
        <xdr:cNvPr id="2" name="Conexão reta unidirecional 1">
          <a:extLst>
            <a:ext uri="{FF2B5EF4-FFF2-40B4-BE49-F238E27FC236}">
              <a16:creationId xmlns:a16="http://schemas.microsoft.com/office/drawing/2014/main" id="{7582B47E-0392-4BE0-8D63-F18962E34D05}"/>
            </a:ext>
          </a:extLst>
        </xdr:cNvPr>
        <xdr:cNvCxnSpPr/>
      </xdr:nvCxnSpPr>
      <xdr:spPr>
        <a:xfrm flipH="1">
          <a:off x="15110460" y="9776460"/>
          <a:ext cx="7620" cy="208026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38</xdr:col>
      <xdr:colOff>245066</xdr:colOff>
      <xdr:row>39</xdr:row>
      <xdr:rowOff>130544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582402E-5D4C-397F-191B-1F3489398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01925" y="0"/>
          <a:ext cx="8783276" cy="7192379"/>
        </a:xfrm>
        <a:prstGeom prst="rect">
          <a:avLst/>
        </a:prstGeom>
      </xdr:spPr>
    </xdr:pic>
    <xdr:clientData/>
  </xdr:twoCellAnchor>
  <xdr:twoCellAnchor>
    <xdr:from>
      <xdr:col>6</xdr:col>
      <xdr:colOff>99060</xdr:colOff>
      <xdr:row>21</xdr:row>
      <xdr:rowOff>76200</xdr:rowOff>
    </xdr:from>
    <xdr:to>
      <xdr:col>8</xdr:col>
      <xdr:colOff>579120</xdr:colOff>
      <xdr:row>21</xdr:row>
      <xdr:rowOff>83820</xdr:rowOff>
    </xdr:to>
    <xdr:cxnSp macro="">
      <xdr:nvCxnSpPr>
        <xdr:cNvPr id="4" name="Conexão reta unidirecional 3">
          <a:extLst>
            <a:ext uri="{FF2B5EF4-FFF2-40B4-BE49-F238E27FC236}">
              <a16:creationId xmlns:a16="http://schemas.microsoft.com/office/drawing/2014/main" id="{B6618453-791C-2418-290A-8ED85C8F4470}"/>
            </a:ext>
          </a:extLst>
        </xdr:cNvPr>
        <xdr:cNvCxnSpPr/>
      </xdr:nvCxnSpPr>
      <xdr:spPr>
        <a:xfrm flipV="1">
          <a:off x="4732020" y="3916680"/>
          <a:ext cx="169926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76200</xdr:colOff>
      <xdr:row>23</xdr:row>
      <xdr:rowOff>99060</xdr:rowOff>
    </xdr:from>
    <xdr:to>
      <xdr:col>8</xdr:col>
      <xdr:colOff>556260</xdr:colOff>
      <xdr:row>23</xdr:row>
      <xdr:rowOff>106680</xdr:rowOff>
    </xdr:to>
    <xdr:cxnSp macro="">
      <xdr:nvCxnSpPr>
        <xdr:cNvPr id="5" name="Conexão reta unidirecional 4">
          <a:extLst>
            <a:ext uri="{FF2B5EF4-FFF2-40B4-BE49-F238E27FC236}">
              <a16:creationId xmlns:a16="http://schemas.microsoft.com/office/drawing/2014/main" id="{7E17E47D-3FDD-45E3-B6C7-8BE5225FA51D}"/>
            </a:ext>
          </a:extLst>
        </xdr:cNvPr>
        <xdr:cNvCxnSpPr/>
      </xdr:nvCxnSpPr>
      <xdr:spPr>
        <a:xfrm flipV="1">
          <a:off x="4709160" y="4305300"/>
          <a:ext cx="169926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91440</xdr:colOff>
      <xdr:row>25</xdr:row>
      <xdr:rowOff>99060</xdr:rowOff>
    </xdr:from>
    <xdr:to>
      <xdr:col>8</xdr:col>
      <xdr:colOff>571500</xdr:colOff>
      <xdr:row>25</xdr:row>
      <xdr:rowOff>106680</xdr:rowOff>
    </xdr:to>
    <xdr:cxnSp macro="">
      <xdr:nvCxnSpPr>
        <xdr:cNvPr id="6" name="Conexão reta unidirecional 5">
          <a:extLst>
            <a:ext uri="{FF2B5EF4-FFF2-40B4-BE49-F238E27FC236}">
              <a16:creationId xmlns:a16="http://schemas.microsoft.com/office/drawing/2014/main" id="{649F084A-2464-4350-93C2-8B0E3755904B}"/>
            </a:ext>
          </a:extLst>
        </xdr:cNvPr>
        <xdr:cNvCxnSpPr/>
      </xdr:nvCxnSpPr>
      <xdr:spPr>
        <a:xfrm flipV="1">
          <a:off x="4724400" y="4671060"/>
          <a:ext cx="169926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83820</xdr:colOff>
      <xdr:row>27</xdr:row>
      <xdr:rowOff>83820</xdr:rowOff>
    </xdr:from>
    <xdr:to>
      <xdr:col>8</xdr:col>
      <xdr:colOff>563880</xdr:colOff>
      <xdr:row>27</xdr:row>
      <xdr:rowOff>91440</xdr:rowOff>
    </xdr:to>
    <xdr:cxnSp macro="">
      <xdr:nvCxnSpPr>
        <xdr:cNvPr id="7" name="Conexão reta unidirecional 6">
          <a:extLst>
            <a:ext uri="{FF2B5EF4-FFF2-40B4-BE49-F238E27FC236}">
              <a16:creationId xmlns:a16="http://schemas.microsoft.com/office/drawing/2014/main" id="{6E82B1A9-535B-4944-A379-B26CF3725391}"/>
            </a:ext>
          </a:extLst>
        </xdr:cNvPr>
        <xdr:cNvCxnSpPr/>
      </xdr:nvCxnSpPr>
      <xdr:spPr>
        <a:xfrm flipV="1">
          <a:off x="4716780" y="5021580"/>
          <a:ext cx="169926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83820</xdr:colOff>
      <xdr:row>44</xdr:row>
      <xdr:rowOff>99060</xdr:rowOff>
    </xdr:from>
    <xdr:to>
      <xdr:col>8</xdr:col>
      <xdr:colOff>563880</xdr:colOff>
      <xdr:row>44</xdr:row>
      <xdr:rowOff>106680</xdr:rowOff>
    </xdr:to>
    <xdr:cxnSp macro="">
      <xdr:nvCxnSpPr>
        <xdr:cNvPr id="8" name="Conexão reta unidirecional 7">
          <a:extLst>
            <a:ext uri="{FF2B5EF4-FFF2-40B4-BE49-F238E27FC236}">
              <a16:creationId xmlns:a16="http://schemas.microsoft.com/office/drawing/2014/main" id="{44D541E9-B735-4670-96E5-BBCA2B494019}"/>
            </a:ext>
          </a:extLst>
        </xdr:cNvPr>
        <xdr:cNvCxnSpPr/>
      </xdr:nvCxnSpPr>
      <xdr:spPr>
        <a:xfrm flipV="1">
          <a:off x="4716780" y="8145780"/>
          <a:ext cx="169926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68580</xdr:colOff>
      <xdr:row>46</xdr:row>
      <xdr:rowOff>76200</xdr:rowOff>
    </xdr:from>
    <xdr:to>
      <xdr:col>8</xdr:col>
      <xdr:colOff>548640</xdr:colOff>
      <xdr:row>46</xdr:row>
      <xdr:rowOff>83820</xdr:rowOff>
    </xdr:to>
    <xdr:cxnSp macro="">
      <xdr:nvCxnSpPr>
        <xdr:cNvPr id="9" name="Conexão reta unidirecional 8">
          <a:extLst>
            <a:ext uri="{FF2B5EF4-FFF2-40B4-BE49-F238E27FC236}">
              <a16:creationId xmlns:a16="http://schemas.microsoft.com/office/drawing/2014/main" id="{22304F5E-00AB-4E78-B25D-8A086C863996}"/>
            </a:ext>
          </a:extLst>
        </xdr:cNvPr>
        <xdr:cNvCxnSpPr/>
      </xdr:nvCxnSpPr>
      <xdr:spPr>
        <a:xfrm flipV="1">
          <a:off x="4701540" y="8488680"/>
          <a:ext cx="169926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</xdr:colOff>
      <xdr:row>48</xdr:row>
      <xdr:rowOff>68580</xdr:rowOff>
    </xdr:from>
    <xdr:to>
      <xdr:col>8</xdr:col>
      <xdr:colOff>525780</xdr:colOff>
      <xdr:row>48</xdr:row>
      <xdr:rowOff>76200</xdr:rowOff>
    </xdr:to>
    <xdr:cxnSp macro="">
      <xdr:nvCxnSpPr>
        <xdr:cNvPr id="10" name="Conexão reta unidirecional 9">
          <a:extLst>
            <a:ext uri="{FF2B5EF4-FFF2-40B4-BE49-F238E27FC236}">
              <a16:creationId xmlns:a16="http://schemas.microsoft.com/office/drawing/2014/main" id="{0A5AC62D-5776-418C-9339-F328C55206E1}"/>
            </a:ext>
          </a:extLst>
        </xdr:cNvPr>
        <xdr:cNvCxnSpPr/>
      </xdr:nvCxnSpPr>
      <xdr:spPr>
        <a:xfrm flipV="1">
          <a:off x="4678680" y="8846820"/>
          <a:ext cx="169926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</xdr:colOff>
      <xdr:row>50</xdr:row>
      <xdr:rowOff>83820</xdr:rowOff>
    </xdr:from>
    <xdr:to>
      <xdr:col>8</xdr:col>
      <xdr:colOff>525780</xdr:colOff>
      <xdr:row>50</xdr:row>
      <xdr:rowOff>91440</xdr:rowOff>
    </xdr:to>
    <xdr:cxnSp macro="">
      <xdr:nvCxnSpPr>
        <xdr:cNvPr id="11" name="Conexão reta unidirecional 10">
          <a:extLst>
            <a:ext uri="{FF2B5EF4-FFF2-40B4-BE49-F238E27FC236}">
              <a16:creationId xmlns:a16="http://schemas.microsoft.com/office/drawing/2014/main" id="{2EBB8ACC-2653-44CD-9567-1729B4AE4B1F}"/>
            </a:ext>
          </a:extLst>
        </xdr:cNvPr>
        <xdr:cNvCxnSpPr/>
      </xdr:nvCxnSpPr>
      <xdr:spPr>
        <a:xfrm flipV="1">
          <a:off x="4678680" y="9227820"/>
          <a:ext cx="169926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i Silva" id="{477EE46D-4D3B-474D-A53C-2E6D8A52DE6F}" userId="S::rui.silva@jordao.com::d9a697df-aa51-49f3-aa7a-ce92501b6ab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8" dT="2026-02-22T10:36:49.80" personId="{477EE46D-4D3B-474D-A53C-2E6D8A52DE6F}" id="{DC7C7711-2C84-4DED-A4B8-91525FF2BCB7}">
    <text xml:space="preserve">O coeficiente de correlação:
1=&gt; Correlação positiva perfeita.
 0,7 a 0,9 =&gt; Forte.
 0,3 a 0,6=&gt; Moderada.
0 =&gt; Nenhuma correlação linear.
 -0,7 a -0,9=&gt; Forte negativa.
1=&gt; Correlação negativa perfeita.
</text>
  </threadedComment>
  <threadedComment ref="G11" dT="2026-02-14T11:05:50.84" personId="{477EE46D-4D3B-474D-A53C-2E6D8A52DE6F}" id="{609A6ECD-B9F0-43E1-8B80-8052125AD197}">
    <text xml:space="preserve">Um byte da imagem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9D49D-482F-411A-92B6-E235633AFE22}">
  <sheetPr codeName="Folha1"/>
  <dimension ref="B2:J20"/>
  <sheetViews>
    <sheetView zoomScale="130" zoomScaleNormal="130" workbookViewId="0">
      <selection activeCell="C13" sqref="C13"/>
    </sheetView>
  </sheetViews>
  <sheetFormatPr defaultRowHeight="15" x14ac:dyDescent="0.25"/>
  <cols>
    <col min="2" max="2" width="12.28515625" customWidth="1"/>
    <col min="3" max="3" width="12.42578125" customWidth="1"/>
    <col min="5" max="5" width="10" bestFit="1" customWidth="1"/>
    <col min="6" max="6" width="9.5703125" bestFit="1" customWidth="1"/>
    <col min="7" max="7" width="11" bestFit="1" customWidth="1"/>
    <col min="8" max="8" width="12.7109375" customWidth="1"/>
  </cols>
  <sheetData>
    <row r="2" spans="2:10" x14ac:dyDescent="0.25">
      <c r="I2" t="s">
        <v>0</v>
      </c>
    </row>
    <row r="6" spans="2:10" x14ac:dyDescent="0.25">
      <c r="B6" t="s">
        <v>5</v>
      </c>
      <c r="C6">
        <v>352617189</v>
      </c>
      <c r="D6">
        <f>TRUNC(C6/(256^3))</f>
        <v>21</v>
      </c>
      <c r="E6">
        <f>MOD(C6,256^3)</f>
        <v>295653</v>
      </c>
      <c r="F6" t="str">
        <f>DEC2BIN(D6,8)</f>
        <v>00010101</v>
      </c>
      <c r="G6" t="str">
        <f>DEC2HEX(D6,2)</f>
        <v>15</v>
      </c>
      <c r="H6" t="str">
        <f>"0x"&amp;D6&amp;G7&amp;G8&amp;G9</f>
        <v>0x210482E5</v>
      </c>
    </row>
    <row r="7" spans="2:10" x14ac:dyDescent="0.25">
      <c r="C7">
        <f>+E6</f>
        <v>295653</v>
      </c>
      <c r="D7">
        <f>TRUNC(C7/(256^2))</f>
        <v>4</v>
      </c>
      <c r="E7">
        <f>MOD(C7,256^2)</f>
        <v>33509</v>
      </c>
      <c r="F7" t="str">
        <f t="shared" ref="F7:F9" si="0">DEC2BIN(D7,8)</f>
        <v>00000100</v>
      </c>
      <c r="G7" t="str">
        <f>DEC2HEX(D7,2)</f>
        <v>04</v>
      </c>
    </row>
    <row r="8" spans="2:10" x14ac:dyDescent="0.25">
      <c r="C8">
        <f t="shared" ref="C8:C9" si="1">+E7</f>
        <v>33509</v>
      </c>
      <c r="D8">
        <f>TRUNC(C8/(256))</f>
        <v>130</v>
      </c>
      <c r="E8">
        <f>MOD(C8,256)</f>
        <v>229</v>
      </c>
      <c r="F8" t="str">
        <f t="shared" si="0"/>
        <v>10000010</v>
      </c>
      <c r="G8" t="str">
        <f>DEC2HEX(D8,2)</f>
        <v>82</v>
      </c>
    </row>
    <row r="9" spans="2:10" x14ac:dyDescent="0.25">
      <c r="C9">
        <f t="shared" si="1"/>
        <v>229</v>
      </c>
      <c r="D9">
        <f>+C9</f>
        <v>229</v>
      </c>
      <c r="E9">
        <f t="shared" ref="E9" si="2">MOD(C9,256^2)</f>
        <v>229</v>
      </c>
      <c r="F9" t="str">
        <f t="shared" si="0"/>
        <v>11100101</v>
      </c>
      <c r="G9" t="str">
        <f>DEC2HEX(D9,2)</f>
        <v>E5</v>
      </c>
    </row>
    <row r="11" spans="2:10" x14ac:dyDescent="0.25">
      <c r="C11" s="1" t="str">
        <f>F6&amp;F7&amp;F8&amp;F9</f>
        <v>00010101000001001000001011100101</v>
      </c>
      <c r="H11" s="1"/>
    </row>
    <row r="13" spans="2:10" x14ac:dyDescent="0.25">
      <c r="B13" t="s">
        <v>1</v>
      </c>
      <c r="C13" s="1" t="str">
        <f>MID(C11,31,2)&amp;MID(C11,1,30)</f>
        <v>01000101010000010010000010111001</v>
      </c>
      <c r="G13">
        <f>BIN2DEC(LEFT(C13,8))</f>
        <v>69</v>
      </c>
      <c r="H13">
        <f>BIN2DEC(MID(C13,9,8))</f>
        <v>65</v>
      </c>
      <c r="I13">
        <f>BIN2DEC(MID(C13,17,8))</f>
        <v>32</v>
      </c>
      <c r="J13">
        <f>BIN2DEC(RIGHT(C13,8))</f>
        <v>185</v>
      </c>
    </row>
    <row r="14" spans="2:10" x14ac:dyDescent="0.25">
      <c r="B14" t="s">
        <v>2</v>
      </c>
      <c r="C14" s="1" t="str">
        <f>MID(C11,14,13)&amp;MID(C11,1,19)</f>
        <v>10010000010110001010100000100100</v>
      </c>
      <c r="G14">
        <f t="shared" ref="G14:G15" si="3">BIN2DEC(LEFT(C14,8))</f>
        <v>144</v>
      </c>
      <c r="H14">
        <f t="shared" ref="H14:H15" si="4">BIN2DEC(MID(C14,9,8))</f>
        <v>88</v>
      </c>
      <c r="I14">
        <f t="shared" ref="I14:I15" si="5">BIN2DEC(MID(C14,17,8))</f>
        <v>168</v>
      </c>
      <c r="J14">
        <f t="shared" ref="J14:J15" si="6">BIN2DEC(RIGHT(C14,8))</f>
        <v>36</v>
      </c>
    </row>
    <row r="15" spans="2:10" x14ac:dyDescent="0.25">
      <c r="B15" t="s">
        <v>3</v>
      </c>
      <c r="C15" s="1" t="str">
        <f>MID(C11,11,22)&amp;MID(C11,1,10)</f>
        <v>00010010000010111001010001010100</v>
      </c>
      <c r="G15">
        <f t="shared" si="3"/>
        <v>18</v>
      </c>
      <c r="H15">
        <f t="shared" si="4"/>
        <v>11</v>
      </c>
      <c r="I15">
        <f t="shared" si="5"/>
        <v>148</v>
      </c>
      <c r="J15">
        <f t="shared" si="6"/>
        <v>84</v>
      </c>
    </row>
    <row r="16" spans="2:10" x14ac:dyDescent="0.25">
      <c r="G16">
        <f>_xlfn.BITXOR(_xlfn.BITXOR(G13,G14),G15)</f>
        <v>199</v>
      </c>
      <c r="H16">
        <f t="shared" ref="H16:J16" si="7">_xlfn.BITXOR(_xlfn.BITXOR(H13,H14),H15)</f>
        <v>18</v>
      </c>
      <c r="I16">
        <f t="shared" si="7"/>
        <v>28</v>
      </c>
      <c r="J16">
        <f t="shared" si="7"/>
        <v>201</v>
      </c>
    </row>
    <row r="17" spans="2:3" x14ac:dyDescent="0.25">
      <c r="B17" t="s">
        <v>4</v>
      </c>
      <c r="C17">
        <f>G16*256^3+H16*256^2+I16*256+J16</f>
        <v>3339853001</v>
      </c>
    </row>
    <row r="20" spans="2:3" x14ac:dyDescent="0.25">
      <c r="B20" t="s">
        <v>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D046D-28AD-4BC9-9A0D-D58DD02CCE20}">
  <sheetPr codeName="Folha2"/>
  <dimension ref="A1:BN470"/>
  <sheetViews>
    <sheetView workbookViewId="0">
      <selection activeCell="L4" sqref="L4"/>
    </sheetView>
  </sheetViews>
  <sheetFormatPr defaultRowHeight="15" x14ac:dyDescent="0.25"/>
  <cols>
    <col min="2" max="2" width="10.28515625" customWidth="1"/>
    <col min="3" max="3" width="13" customWidth="1"/>
    <col min="4" max="10" width="11.28515625" customWidth="1"/>
    <col min="15" max="15" width="10" customWidth="1"/>
    <col min="16" max="16" width="12.5703125" customWidth="1"/>
    <col min="17" max="18" width="10.28515625" customWidth="1"/>
  </cols>
  <sheetData>
    <row r="1" spans="2:19" x14ac:dyDescent="0.25">
      <c r="B1" t="s">
        <v>44</v>
      </c>
      <c r="C1" s="38" t="s">
        <v>445</v>
      </c>
      <c r="D1" s="38"/>
      <c r="E1" s="38"/>
      <c r="F1" s="38"/>
      <c r="G1" s="38"/>
      <c r="H1" s="38"/>
      <c r="I1" s="38"/>
      <c r="J1" s="38"/>
      <c r="L1">
        <f>LEN(C1)</f>
        <v>5</v>
      </c>
      <c r="M1">
        <f>L1*8</f>
        <v>40</v>
      </c>
      <c r="N1" t="str">
        <f>DEC2HEX(M1,4)</f>
        <v>0028</v>
      </c>
    </row>
    <row r="2" spans="2:19" x14ac:dyDescent="0.25">
      <c r="L2" s="9">
        <v>1</v>
      </c>
      <c r="M2" s="9">
        <v>2</v>
      </c>
      <c r="N2" s="9">
        <v>3</v>
      </c>
      <c r="O2" s="9">
        <v>4</v>
      </c>
      <c r="P2" s="9">
        <v>5</v>
      </c>
      <c r="Q2" s="9">
        <v>6</v>
      </c>
      <c r="R2" s="9">
        <v>7</v>
      </c>
      <c r="S2" s="9">
        <v>8</v>
      </c>
    </row>
    <row r="3" spans="2:19" x14ac:dyDescent="0.25">
      <c r="B3" t="s">
        <v>129</v>
      </c>
      <c r="C3" s="2" t="str">
        <f>DEC2BIN(L3,8)</f>
        <v>11111111</v>
      </c>
      <c r="D3" s="2" t="str">
        <f t="shared" ref="D3:J3" si="0">DEC2BIN(M3,8)</f>
        <v>01100101</v>
      </c>
      <c r="E3" s="2" t="str">
        <f t="shared" si="0"/>
        <v>01110011</v>
      </c>
      <c r="F3" s="2" t="str">
        <f t="shared" si="0"/>
        <v>01110101</v>
      </c>
      <c r="G3" s="2" t="str">
        <f t="shared" si="0"/>
        <v>01100101</v>
      </c>
      <c r="H3" s="2" t="str">
        <f t="shared" si="0"/>
        <v>10000000</v>
      </c>
      <c r="I3" s="2" t="str">
        <f t="shared" si="0"/>
        <v>00000000</v>
      </c>
      <c r="J3" s="2" t="str">
        <f t="shared" si="0"/>
        <v>00000000</v>
      </c>
      <c r="K3" s="10">
        <v>0</v>
      </c>
      <c r="L3">
        <v>255</v>
      </c>
      <c r="M3">
        <f>IF($L$1&gt;=M$2+$K3,CODE(MID($C$1,M$2+$K3,1)),IF(M$2+$K3=($L$1+1),128,0))</f>
        <v>101</v>
      </c>
      <c r="N3">
        <f t="shared" ref="N3:S10" si="1">IF($L$1&gt;=N$2+$K3,CODE(MID($C$1,N$2+$K3,1)),IF(N$2+$K3=($L$1+1),128,0))</f>
        <v>115</v>
      </c>
      <c r="O3">
        <f t="shared" si="1"/>
        <v>117</v>
      </c>
      <c r="P3">
        <f t="shared" si="1"/>
        <v>101</v>
      </c>
      <c r="Q3">
        <f t="shared" si="1"/>
        <v>128</v>
      </c>
      <c r="R3">
        <f t="shared" si="1"/>
        <v>0</v>
      </c>
      <c r="S3">
        <f t="shared" si="1"/>
        <v>0</v>
      </c>
    </row>
    <row r="4" spans="2:19" x14ac:dyDescent="0.25">
      <c r="C4" s="2" t="str">
        <f t="shared" ref="C4:C10" si="2">DEC2BIN(L4,8)</f>
        <v>00000000</v>
      </c>
      <c r="D4" s="2" t="str">
        <f t="shared" ref="D4:D10" si="3">DEC2BIN(M4,8)</f>
        <v>00000000</v>
      </c>
      <c r="E4" s="2" t="str">
        <f t="shared" ref="E4:E10" si="4">DEC2BIN(N4,8)</f>
        <v>00000000</v>
      </c>
      <c r="F4" s="2" t="str">
        <f t="shared" ref="F4:F10" si="5">DEC2BIN(O4,8)</f>
        <v>00000000</v>
      </c>
      <c r="G4" s="2" t="str">
        <f t="shared" ref="G4:G9" si="6">DEC2BIN(P4,8)</f>
        <v>00000000</v>
      </c>
      <c r="H4" s="2" t="str">
        <f t="shared" ref="H4:H9" si="7">DEC2BIN(Q4,8)</f>
        <v>00000000</v>
      </c>
      <c r="I4" s="2" t="str">
        <f t="shared" ref="I4:I9" si="8">DEC2BIN(R4,8)</f>
        <v>00000000</v>
      </c>
      <c r="J4" s="2" t="str">
        <f t="shared" ref="J4:J9" si="9">DEC2BIN(S4,8)</f>
        <v>00000000</v>
      </c>
      <c r="K4" s="10">
        <v>8</v>
      </c>
      <c r="L4">
        <f t="shared" ref="L4:M10" si="10">IF($L$1&gt;=L$2+$K4,CODE(MID($C$1,L$2+$K4,1)),IF(L$2+$K4=($L$1+1),128,0))</f>
        <v>0</v>
      </c>
      <c r="M4">
        <f t="shared" si="10"/>
        <v>0</v>
      </c>
      <c r="N4">
        <f t="shared" si="1"/>
        <v>0</v>
      </c>
      <c r="O4">
        <f t="shared" si="1"/>
        <v>0</v>
      </c>
      <c r="P4">
        <f t="shared" si="1"/>
        <v>0</v>
      </c>
      <c r="Q4">
        <f t="shared" si="1"/>
        <v>0</v>
      </c>
      <c r="R4">
        <f t="shared" si="1"/>
        <v>0</v>
      </c>
      <c r="S4">
        <f t="shared" si="1"/>
        <v>0</v>
      </c>
    </row>
    <row r="5" spans="2:19" x14ac:dyDescent="0.25">
      <c r="C5" s="2" t="str">
        <f t="shared" si="2"/>
        <v>00000000</v>
      </c>
      <c r="D5" s="2" t="str">
        <f t="shared" si="3"/>
        <v>00000000</v>
      </c>
      <c r="E5" s="2" t="str">
        <f t="shared" si="4"/>
        <v>00000000</v>
      </c>
      <c r="F5" s="2" t="str">
        <f t="shared" si="5"/>
        <v>00000000</v>
      </c>
      <c r="G5" s="2" t="str">
        <f t="shared" si="6"/>
        <v>00000000</v>
      </c>
      <c r="H5" s="2" t="str">
        <f t="shared" si="7"/>
        <v>00000000</v>
      </c>
      <c r="I5" s="2" t="str">
        <f t="shared" si="8"/>
        <v>00000000</v>
      </c>
      <c r="J5" s="2" t="str">
        <f t="shared" si="9"/>
        <v>00000000</v>
      </c>
      <c r="K5" s="10">
        <v>16</v>
      </c>
      <c r="L5">
        <f t="shared" si="10"/>
        <v>0</v>
      </c>
      <c r="M5">
        <f t="shared" si="10"/>
        <v>0</v>
      </c>
      <c r="N5">
        <f t="shared" si="1"/>
        <v>0</v>
      </c>
      <c r="O5">
        <f t="shared" si="1"/>
        <v>0</v>
      </c>
      <c r="P5">
        <f t="shared" si="1"/>
        <v>0</v>
      </c>
      <c r="Q5">
        <f t="shared" si="1"/>
        <v>0</v>
      </c>
      <c r="R5">
        <f t="shared" si="1"/>
        <v>0</v>
      </c>
      <c r="S5">
        <f t="shared" si="1"/>
        <v>0</v>
      </c>
    </row>
    <row r="6" spans="2:19" x14ac:dyDescent="0.25">
      <c r="C6" s="2" t="str">
        <f t="shared" si="2"/>
        <v>00000000</v>
      </c>
      <c r="D6" s="2" t="str">
        <f t="shared" si="3"/>
        <v>00000000</v>
      </c>
      <c r="E6" s="2" t="str">
        <f t="shared" si="4"/>
        <v>00000000</v>
      </c>
      <c r="F6" s="2" t="str">
        <f t="shared" si="5"/>
        <v>00000000</v>
      </c>
      <c r="G6" s="2" t="str">
        <f t="shared" si="6"/>
        <v>00000000</v>
      </c>
      <c r="H6" s="2" t="str">
        <f t="shared" si="7"/>
        <v>00000000</v>
      </c>
      <c r="I6" s="2" t="str">
        <f t="shared" si="8"/>
        <v>00000000</v>
      </c>
      <c r="J6" s="2" t="str">
        <f t="shared" si="9"/>
        <v>00000000</v>
      </c>
      <c r="K6" s="10">
        <v>24</v>
      </c>
      <c r="L6">
        <f t="shared" si="10"/>
        <v>0</v>
      </c>
      <c r="M6">
        <f t="shared" si="10"/>
        <v>0</v>
      </c>
      <c r="N6">
        <f t="shared" si="1"/>
        <v>0</v>
      </c>
      <c r="O6">
        <f t="shared" si="1"/>
        <v>0</v>
      </c>
      <c r="P6">
        <f t="shared" si="1"/>
        <v>0</v>
      </c>
      <c r="Q6">
        <f t="shared" si="1"/>
        <v>0</v>
      </c>
      <c r="R6">
        <f t="shared" si="1"/>
        <v>0</v>
      </c>
      <c r="S6">
        <f t="shared" si="1"/>
        <v>0</v>
      </c>
    </row>
    <row r="7" spans="2:19" x14ac:dyDescent="0.25">
      <c r="C7" s="2" t="str">
        <f t="shared" si="2"/>
        <v>00000000</v>
      </c>
      <c r="D7" s="2" t="str">
        <f t="shared" si="3"/>
        <v>00000000</v>
      </c>
      <c r="E7" s="2" t="str">
        <f t="shared" si="4"/>
        <v>00000000</v>
      </c>
      <c r="F7" s="2" t="str">
        <f t="shared" si="5"/>
        <v>00000000</v>
      </c>
      <c r="G7" s="2" t="str">
        <f t="shared" si="6"/>
        <v>00000000</v>
      </c>
      <c r="H7" s="2" t="str">
        <f t="shared" si="7"/>
        <v>00000000</v>
      </c>
      <c r="I7" s="2" t="str">
        <f t="shared" si="8"/>
        <v>00000000</v>
      </c>
      <c r="J7" s="2" t="str">
        <f t="shared" si="9"/>
        <v>00000000</v>
      </c>
      <c r="K7" s="10">
        <v>32</v>
      </c>
      <c r="L7">
        <f t="shared" si="10"/>
        <v>0</v>
      </c>
      <c r="M7">
        <f t="shared" si="10"/>
        <v>0</v>
      </c>
      <c r="N7">
        <f t="shared" si="1"/>
        <v>0</v>
      </c>
      <c r="O7">
        <f t="shared" si="1"/>
        <v>0</v>
      </c>
      <c r="P7">
        <f t="shared" si="1"/>
        <v>0</v>
      </c>
      <c r="Q7">
        <f t="shared" si="1"/>
        <v>0</v>
      </c>
      <c r="R7">
        <f t="shared" si="1"/>
        <v>0</v>
      </c>
      <c r="S7">
        <f t="shared" si="1"/>
        <v>0</v>
      </c>
    </row>
    <row r="8" spans="2:19" x14ac:dyDescent="0.25">
      <c r="C8" s="2" t="str">
        <f t="shared" si="2"/>
        <v>00000000</v>
      </c>
      <c r="D8" s="2" t="str">
        <f t="shared" si="3"/>
        <v>00000000</v>
      </c>
      <c r="E8" s="2" t="str">
        <f t="shared" si="4"/>
        <v>00000000</v>
      </c>
      <c r="F8" s="2" t="str">
        <f t="shared" si="5"/>
        <v>00000000</v>
      </c>
      <c r="G8" s="2" t="str">
        <f t="shared" si="6"/>
        <v>00000000</v>
      </c>
      <c r="H8" s="2" t="str">
        <f t="shared" si="7"/>
        <v>00000000</v>
      </c>
      <c r="I8" s="2" t="str">
        <f t="shared" si="8"/>
        <v>00000000</v>
      </c>
      <c r="J8" s="2" t="str">
        <f t="shared" si="9"/>
        <v>00000000</v>
      </c>
      <c r="K8" s="10">
        <v>40</v>
      </c>
      <c r="L8">
        <f t="shared" si="10"/>
        <v>0</v>
      </c>
      <c r="M8">
        <f t="shared" si="10"/>
        <v>0</v>
      </c>
      <c r="N8">
        <f t="shared" si="1"/>
        <v>0</v>
      </c>
      <c r="O8">
        <f t="shared" si="1"/>
        <v>0</v>
      </c>
      <c r="P8">
        <f t="shared" si="1"/>
        <v>0</v>
      </c>
      <c r="Q8">
        <f t="shared" si="1"/>
        <v>0</v>
      </c>
      <c r="R8">
        <f t="shared" si="1"/>
        <v>0</v>
      </c>
      <c r="S8">
        <f t="shared" si="1"/>
        <v>0</v>
      </c>
    </row>
    <row r="9" spans="2:19" x14ac:dyDescent="0.25">
      <c r="C9" s="2" t="str">
        <f t="shared" si="2"/>
        <v>00000000</v>
      </c>
      <c r="D9" s="2" t="str">
        <f t="shared" si="3"/>
        <v>00000000</v>
      </c>
      <c r="E9" s="2" t="str">
        <f t="shared" si="4"/>
        <v>00000000</v>
      </c>
      <c r="F9" s="2" t="str">
        <f t="shared" si="5"/>
        <v>00000000</v>
      </c>
      <c r="G9" s="2" t="str">
        <f t="shared" si="6"/>
        <v>00000000</v>
      </c>
      <c r="H9" s="2" t="str">
        <f t="shared" si="7"/>
        <v>00000000</v>
      </c>
      <c r="I9" s="2" t="str">
        <f t="shared" si="8"/>
        <v>00000000</v>
      </c>
      <c r="J9" s="2" t="str">
        <f t="shared" si="9"/>
        <v>00000000</v>
      </c>
      <c r="K9" s="10">
        <v>48</v>
      </c>
      <c r="L9">
        <f t="shared" si="10"/>
        <v>0</v>
      </c>
      <c r="M9">
        <f t="shared" si="10"/>
        <v>0</v>
      </c>
      <c r="N9">
        <f t="shared" si="1"/>
        <v>0</v>
      </c>
      <c r="O9">
        <f t="shared" si="1"/>
        <v>0</v>
      </c>
      <c r="P9">
        <f t="shared" si="1"/>
        <v>0</v>
      </c>
      <c r="Q9">
        <f t="shared" si="1"/>
        <v>0</v>
      </c>
      <c r="R9">
        <f t="shared" si="1"/>
        <v>0</v>
      </c>
      <c r="S9">
        <f t="shared" si="1"/>
        <v>0</v>
      </c>
    </row>
    <row r="10" spans="2:19" x14ac:dyDescent="0.25">
      <c r="C10" s="15" t="str">
        <f t="shared" si="2"/>
        <v>00000000</v>
      </c>
      <c r="D10" s="15" t="str">
        <f t="shared" si="3"/>
        <v>00000000</v>
      </c>
      <c r="E10" s="15" t="str">
        <f t="shared" si="4"/>
        <v>00000000</v>
      </c>
      <c r="F10" s="15" t="str">
        <f t="shared" si="5"/>
        <v>00000000</v>
      </c>
      <c r="G10" s="15" t="s">
        <v>45</v>
      </c>
      <c r="H10" s="15" t="s">
        <v>45</v>
      </c>
      <c r="I10" s="15" t="str">
        <f>DEC2BIN(R10,8)</f>
        <v>00000000</v>
      </c>
      <c r="J10" s="15" t="str">
        <f>DEC2BIN(S10,8)</f>
        <v>00101000</v>
      </c>
      <c r="K10" s="10">
        <v>56</v>
      </c>
      <c r="L10" s="4">
        <f t="shared" si="10"/>
        <v>0</v>
      </c>
      <c r="M10" s="4">
        <f t="shared" si="10"/>
        <v>0</v>
      </c>
      <c r="N10" s="4">
        <f t="shared" si="1"/>
        <v>0</v>
      </c>
      <c r="O10" s="4">
        <f t="shared" si="1"/>
        <v>0</v>
      </c>
      <c r="P10" s="4">
        <v>0</v>
      </c>
      <c r="Q10" s="4">
        <v>0</v>
      </c>
      <c r="R10" s="4">
        <f>HEX2DEC(MID(N1,1,2))</f>
        <v>0</v>
      </c>
      <c r="S10" s="4">
        <f>HEX2DEC(MID(N1,3,2))</f>
        <v>40</v>
      </c>
    </row>
    <row r="12" spans="2:19" x14ac:dyDescent="0.25">
      <c r="C12">
        <v>56</v>
      </c>
      <c r="D12">
        <v>57</v>
      </c>
      <c r="E12">
        <v>58</v>
      </c>
      <c r="F12">
        <v>59</v>
      </c>
      <c r="G12">
        <v>60</v>
      </c>
      <c r="H12">
        <v>61</v>
      </c>
      <c r="I12">
        <v>62</v>
      </c>
      <c r="J12">
        <v>63</v>
      </c>
      <c r="L12" s="16" t="s">
        <v>449</v>
      </c>
    </row>
    <row r="13" spans="2:19" x14ac:dyDescent="0.25">
      <c r="C13" s="31"/>
      <c r="D13" s="31"/>
      <c r="E13" s="31"/>
      <c r="F13" s="31"/>
      <c r="G13" s="31"/>
      <c r="H13" s="31"/>
      <c r="I13" s="31"/>
      <c r="J13" s="31"/>
    </row>
    <row r="14" spans="2:19" x14ac:dyDescent="0.25">
      <c r="C14" t="s">
        <v>46</v>
      </c>
    </row>
    <row r="15" spans="2:19" x14ac:dyDescent="0.25">
      <c r="C15" s="1" t="s">
        <v>47</v>
      </c>
      <c r="D15" s="12" t="s">
        <v>125</v>
      </c>
      <c r="E15" s="1" t="s">
        <v>48</v>
      </c>
      <c r="F15" s="1" t="s">
        <v>49</v>
      </c>
      <c r="G15" s="1" t="s">
        <v>50</v>
      </c>
      <c r="H15" s="1" t="s">
        <v>51</v>
      </c>
      <c r="I15" s="1" t="s">
        <v>52</v>
      </c>
      <c r="J15" s="1" t="s">
        <v>53</v>
      </c>
      <c r="N15" s="16"/>
    </row>
    <row r="16" spans="2:19" x14ac:dyDescent="0.25">
      <c r="C16" s="1" t="s">
        <v>54</v>
      </c>
      <c r="D16" s="1" t="s">
        <v>55</v>
      </c>
      <c r="E16" s="1" t="s">
        <v>56</v>
      </c>
      <c r="F16" s="1" t="s">
        <v>57</v>
      </c>
      <c r="G16" s="1" t="s">
        <v>58</v>
      </c>
      <c r="H16" s="1" t="s">
        <v>59</v>
      </c>
      <c r="I16" s="1" t="s">
        <v>60</v>
      </c>
      <c r="J16" s="1" t="s">
        <v>61</v>
      </c>
    </row>
    <row r="17" spans="1:10" x14ac:dyDescent="0.25">
      <c r="C17" s="1" t="s">
        <v>62</v>
      </c>
      <c r="D17" s="1" t="s">
        <v>63</v>
      </c>
      <c r="E17" s="1" t="s">
        <v>64</v>
      </c>
      <c r="F17" s="1" t="s">
        <v>65</v>
      </c>
      <c r="G17" s="1" t="s">
        <v>66</v>
      </c>
      <c r="H17" s="1" t="s">
        <v>67</v>
      </c>
      <c r="I17" s="1" t="s">
        <v>68</v>
      </c>
      <c r="J17" s="1" t="s">
        <v>69</v>
      </c>
    </row>
    <row r="18" spans="1:10" x14ac:dyDescent="0.25">
      <c r="C18" s="1" t="s">
        <v>70</v>
      </c>
      <c r="D18" s="1" t="s">
        <v>71</v>
      </c>
      <c r="E18" s="1" t="s">
        <v>72</v>
      </c>
      <c r="F18" s="1" t="s">
        <v>73</v>
      </c>
      <c r="G18" s="1" t="s">
        <v>74</v>
      </c>
      <c r="H18" s="1" t="s">
        <v>75</v>
      </c>
      <c r="I18" s="1" t="s">
        <v>76</v>
      </c>
      <c r="J18" s="1" t="s">
        <v>126</v>
      </c>
    </row>
    <row r="19" spans="1:10" x14ac:dyDescent="0.25">
      <c r="C19" s="1" t="s">
        <v>77</v>
      </c>
      <c r="D19" s="1" t="s">
        <v>78</v>
      </c>
      <c r="E19" s="1" t="s">
        <v>79</v>
      </c>
      <c r="F19" s="1" t="s">
        <v>80</v>
      </c>
      <c r="G19" s="1" t="s">
        <v>81</v>
      </c>
      <c r="H19" s="1" t="s">
        <v>82</v>
      </c>
      <c r="I19" s="1" t="s">
        <v>83</v>
      </c>
      <c r="J19" s="1" t="s">
        <v>84</v>
      </c>
    </row>
    <row r="20" spans="1:10" x14ac:dyDescent="0.25">
      <c r="C20" s="1" t="s">
        <v>85</v>
      </c>
      <c r="D20" s="1" t="s">
        <v>86</v>
      </c>
      <c r="E20" s="1" t="s">
        <v>87</v>
      </c>
      <c r="F20" s="1" t="s">
        <v>88</v>
      </c>
      <c r="G20" s="1" t="s">
        <v>89</v>
      </c>
      <c r="H20" s="1" t="s">
        <v>90</v>
      </c>
      <c r="I20" s="1" t="s">
        <v>91</v>
      </c>
      <c r="J20" s="1" t="s">
        <v>92</v>
      </c>
    </row>
    <row r="21" spans="1:10" x14ac:dyDescent="0.25">
      <c r="C21" s="1" t="s">
        <v>93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99</v>
      </c>
      <c r="J21" s="1" t="s">
        <v>100</v>
      </c>
    </row>
    <row r="22" spans="1:10" x14ac:dyDescent="0.25">
      <c r="C22" s="1" t="s">
        <v>101</v>
      </c>
      <c r="D22" s="1" t="s">
        <v>102</v>
      </c>
      <c r="E22" s="1" t="s">
        <v>103</v>
      </c>
      <c r="F22" s="1" t="s">
        <v>104</v>
      </c>
      <c r="G22" s="1" t="s">
        <v>105</v>
      </c>
      <c r="H22" s="1" t="s">
        <v>106</v>
      </c>
      <c r="I22" s="1" t="s">
        <v>107</v>
      </c>
      <c r="J22" s="1" t="s">
        <v>108</v>
      </c>
    </row>
    <row r="25" spans="1:10" x14ac:dyDescent="0.25">
      <c r="A25" t="s">
        <v>8</v>
      </c>
      <c r="C25" t="s">
        <v>117</v>
      </c>
      <c r="D25" s="1" t="s">
        <v>109</v>
      </c>
      <c r="E25" s="1" t="s">
        <v>127</v>
      </c>
    </row>
    <row r="26" spans="1:10" x14ac:dyDescent="0.25">
      <c r="A26" t="s">
        <v>29</v>
      </c>
      <c r="C26" t="s">
        <v>118</v>
      </c>
      <c r="D26" s="1" t="s">
        <v>110</v>
      </c>
      <c r="E26" s="1" t="s">
        <v>128</v>
      </c>
    </row>
    <row r="27" spans="1:10" x14ac:dyDescent="0.25">
      <c r="A27" t="s">
        <v>30</v>
      </c>
      <c r="C27" t="s">
        <v>119</v>
      </c>
      <c r="D27" s="1" t="s">
        <v>111</v>
      </c>
    </row>
    <row r="28" spans="1:10" x14ac:dyDescent="0.25">
      <c r="A28" t="s">
        <v>31</v>
      </c>
      <c r="C28" t="s">
        <v>120</v>
      </c>
      <c r="D28" s="1" t="s">
        <v>112</v>
      </c>
    </row>
    <row r="29" spans="1:10" x14ac:dyDescent="0.25">
      <c r="A29" t="s">
        <v>221</v>
      </c>
      <c r="C29" t="s">
        <v>121</v>
      </c>
      <c r="D29" s="11" t="s">
        <v>113</v>
      </c>
    </row>
    <row r="30" spans="1:10" x14ac:dyDescent="0.25">
      <c r="A30" t="s">
        <v>222</v>
      </c>
      <c r="C30" t="s">
        <v>122</v>
      </c>
      <c r="D30" s="1" t="s">
        <v>114</v>
      </c>
    </row>
    <row r="31" spans="1:10" x14ac:dyDescent="0.25">
      <c r="A31" t="s">
        <v>34</v>
      </c>
      <c r="C31" t="s">
        <v>123</v>
      </c>
      <c r="D31" s="1" t="s">
        <v>115</v>
      </c>
    </row>
    <row r="32" spans="1:10" x14ac:dyDescent="0.25">
      <c r="A32" t="s">
        <v>223</v>
      </c>
      <c r="C32" t="s">
        <v>124</v>
      </c>
      <c r="D32" s="1" t="s">
        <v>116</v>
      </c>
    </row>
    <row r="34" spans="2:66" x14ac:dyDescent="0.25">
      <c r="C34" s="22">
        <v>0</v>
      </c>
      <c r="D34" s="22">
        <v>1</v>
      </c>
      <c r="E34" s="22">
        <v>2</v>
      </c>
      <c r="F34" s="22">
        <v>3</v>
      </c>
      <c r="G34" s="22">
        <v>4</v>
      </c>
      <c r="H34" s="22">
        <v>5</v>
      </c>
      <c r="I34" s="22">
        <v>6</v>
      </c>
      <c r="J34" s="22">
        <v>7</v>
      </c>
      <c r="K34" s="22">
        <v>8</v>
      </c>
      <c r="L34" s="22">
        <v>9</v>
      </c>
      <c r="M34" s="22">
        <v>10</v>
      </c>
      <c r="N34" s="22">
        <v>11</v>
      </c>
      <c r="O34" s="22">
        <v>12</v>
      </c>
      <c r="P34" s="22">
        <v>13</v>
      </c>
      <c r="Q34" s="22">
        <v>14</v>
      </c>
      <c r="R34" s="22">
        <v>15</v>
      </c>
    </row>
    <row r="35" spans="2:66" x14ac:dyDescent="0.25">
      <c r="B35" s="7" t="s">
        <v>129</v>
      </c>
      <c r="C35" s="14" t="str">
        <f>DEC2HEX(L3,2)&amp;DEC2HEX(M3,2)&amp;DEC2HEX(N3,2)&amp;DEC2HEX(O3,2)</f>
        <v>FF657375</v>
      </c>
      <c r="D35" s="14" t="str">
        <f>DEC2HEX(P3,2)&amp;DEC2HEX(Q3,2)&amp;DEC2HEX(R3,2)&amp;DEC2HEX(S3,2)</f>
        <v>65800000</v>
      </c>
      <c r="E35" s="14" t="str">
        <f>DEC2HEX(L4,2)&amp;DEC2HEX(M4,2)&amp;DEC2HEX(N4,2)&amp;DEC2HEX(O4,2)</f>
        <v>00000000</v>
      </c>
      <c r="F35" s="14" t="str">
        <f>DEC2HEX(P4,2)&amp;DEC2HEX(Q4,2)&amp;DEC2HEX(R4,2)&amp;DEC2HEX(S4,2)</f>
        <v>00000000</v>
      </c>
      <c r="G35" s="14" t="str">
        <f>DEC2HEX(L5,2)&amp;DEC2HEX(M5,2)&amp;DEC2HEX(N5,2)&amp;DEC2HEX(O5,2)</f>
        <v>00000000</v>
      </c>
      <c r="H35" s="14" t="str">
        <f>DEC2HEX(P5,2)&amp;DEC2HEX(Q5,2)&amp;DEC2HEX(R5,2)&amp;DEC2HEX(S5,2)</f>
        <v>00000000</v>
      </c>
      <c r="I35" s="14" t="str">
        <f>DEC2HEX(L6,2)&amp;DEC2HEX(M6,2)&amp;DEC2HEX(N6,2)&amp;DEC2HEX(O6,2)</f>
        <v>00000000</v>
      </c>
      <c r="J35" s="14" t="str">
        <f>DEC2HEX(P6,2)&amp;DEC2HEX(Q6,2)&amp;DEC2HEX(R6,2)&amp;DEC2HEX(S6,2)</f>
        <v>00000000</v>
      </c>
      <c r="K35" s="14" t="str">
        <f>DEC2HEX(L7,2)&amp;DEC2HEX(M7,2)&amp;DEC2HEX(N7,2)&amp;DEC2HEX(O7,2)</f>
        <v>00000000</v>
      </c>
      <c r="L35" s="14" t="str">
        <f>DEC2HEX(P7,2)&amp;DEC2HEX(Q7,2)&amp;DEC2HEX(R7,2)&amp;DEC2HEX(S7,2)</f>
        <v>00000000</v>
      </c>
      <c r="M35" s="14" t="str">
        <f>DEC2HEX(L8,2)&amp;DEC2HEX(M8,2)&amp;DEC2HEX(N8,2)&amp;DEC2HEX(O8,2)</f>
        <v>00000000</v>
      </c>
      <c r="N35" s="14" t="str">
        <f>DEC2HEX(P8,2)&amp;DEC2HEX(Q8,2)&amp;DEC2HEX(R8,2)&amp;DEC2HEX(S8,2)</f>
        <v>00000000</v>
      </c>
      <c r="O35" s="14" t="str">
        <f>DEC2HEX(L9,2)&amp;DEC2HEX(M9,2)&amp;DEC2HEX(N9,2)&amp;DEC2HEX(O9,2)</f>
        <v>00000000</v>
      </c>
      <c r="P35" s="14" t="str">
        <f>DEC2HEX(P9,2)&amp;DEC2HEX(Q9,2)&amp;DEC2HEX(R9,2)&amp;DEC2HEX(S9,2)</f>
        <v>00000000</v>
      </c>
      <c r="Q35" s="14" t="str">
        <f>DEC2HEX(L10,2)&amp;DEC2HEX(M10,2)&amp;DEC2HEX(N10,2)&amp;DEC2HEX(O10,2)</f>
        <v>00000000</v>
      </c>
      <c r="R35" s="14" t="str">
        <f>DEC2HEX(P10,2)&amp;DEC2HEX(Q10,2)&amp;DEC2HEX(R10,2)&amp;DEC2HEX(S10,2)</f>
        <v>00000028</v>
      </c>
    </row>
    <row r="36" spans="2:66" x14ac:dyDescent="0.25"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</row>
    <row r="37" spans="2:66" x14ac:dyDescent="0.25">
      <c r="C37" s="22">
        <v>0</v>
      </c>
      <c r="D37" s="22">
        <v>1</v>
      </c>
      <c r="E37" s="22">
        <v>2</v>
      </c>
      <c r="F37" s="22">
        <v>3</v>
      </c>
      <c r="G37" s="22">
        <v>4</v>
      </c>
      <c r="H37" s="22">
        <v>5</v>
      </c>
      <c r="I37" s="22">
        <v>6</v>
      </c>
      <c r="J37" s="22">
        <v>7</v>
      </c>
      <c r="K37" s="22">
        <v>8</v>
      </c>
      <c r="L37" s="22">
        <v>9</v>
      </c>
      <c r="M37" s="22">
        <v>10</v>
      </c>
      <c r="N37" s="22">
        <v>11</v>
      </c>
      <c r="O37" s="22">
        <v>12</v>
      </c>
      <c r="P37" s="22">
        <v>13</v>
      </c>
      <c r="Q37" s="22">
        <v>14</v>
      </c>
      <c r="R37" s="22">
        <v>15</v>
      </c>
      <c r="S37" s="23">
        <f t="shared" ref="S37:BN37" si="11">+C37+16</f>
        <v>16</v>
      </c>
      <c r="T37" s="23">
        <f t="shared" si="11"/>
        <v>17</v>
      </c>
      <c r="U37" s="23">
        <f t="shared" si="11"/>
        <v>18</v>
      </c>
      <c r="V37" s="23">
        <f t="shared" si="11"/>
        <v>19</v>
      </c>
      <c r="W37" s="23">
        <f t="shared" si="11"/>
        <v>20</v>
      </c>
      <c r="X37" s="23">
        <f t="shared" si="11"/>
        <v>21</v>
      </c>
      <c r="Y37" s="23">
        <f t="shared" si="11"/>
        <v>22</v>
      </c>
      <c r="Z37" s="23">
        <f t="shared" si="11"/>
        <v>23</v>
      </c>
      <c r="AA37" s="23">
        <f t="shared" si="11"/>
        <v>24</v>
      </c>
      <c r="AB37" s="23">
        <f t="shared" si="11"/>
        <v>25</v>
      </c>
      <c r="AC37" s="23">
        <f t="shared" si="11"/>
        <v>26</v>
      </c>
      <c r="AD37" s="23">
        <f t="shared" si="11"/>
        <v>27</v>
      </c>
      <c r="AE37" s="23">
        <f t="shared" si="11"/>
        <v>28</v>
      </c>
      <c r="AF37" s="23">
        <f t="shared" si="11"/>
        <v>29</v>
      </c>
      <c r="AG37" s="23">
        <f t="shared" si="11"/>
        <v>30</v>
      </c>
      <c r="AH37" s="23">
        <f t="shared" si="11"/>
        <v>31</v>
      </c>
      <c r="AI37" s="23">
        <f t="shared" si="11"/>
        <v>32</v>
      </c>
      <c r="AJ37" s="23">
        <f t="shared" si="11"/>
        <v>33</v>
      </c>
      <c r="AK37" s="23">
        <f t="shared" si="11"/>
        <v>34</v>
      </c>
      <c r="AL37" s="23">
        <f t="shared" si="11"/>
        <v>35</v>
      </c>
      <c r="AM37" s="23">
        <f t="shared" si="11"/>
        <v>36</v>
      </c>
      <c r="AN37" s="23">
        <f t="shared" si="11"/>
        <v>37</v>
      </c>
      <c r="AO37" s="23">
        <f t="shared" si="11"/>
        <v>38</v>
      </c>
      <c r="AP37" s="23">
        <f t="shared" si="11"/>
        <v>39</v>
      </c>
      <c r="AQ37" s="23">
        <f t="shared" si="11"/>
        <v>40</v>
      </c>
      <c r="AR37" s="23">
        <f t="shared" si="11"/>
        <v>41</v>
      </c>
      <c r="AS37" s="23">
        <f t="shared" si="11"/>
        <v>42</v>
      </c>
      <c r="AT37" s="23">
        <f t="shared" si="11"/>
        <v>43</v>
      </c>
      <c r="AU37" s="23">
        <f t="shared" si="11"/>
        <v>44</v>
      </c>
      <c r="AV37" s="23">
        <f t="shared" si="11"/>
        <v>45</v>
      </c>
      <c r="AW37" s="23">
        <f t="shared" si="11"/>
        <v>46</v>
      </c>
      <c r="AX37" s="23">
        <f t="shared" si="11"/>
        <v>47</v>
      </c>
      <c r="AY37" s="23">
        <f t="shared" si="11"/>
        <v>48</v>
      </c>
      <c r="AZ37" s="23">
        <f t="shared" si="11"/>
        <v>49</v>
      </c>
      <c r="BA37" s="23">
        <f t="shared" si="11"/>
        <v>50</v>
      </c>
      <c r="BB37" s="23">
        <f t="shared" si="11"/>
        <v>51</v>
      </c>
      <c r="BC37" s="23">
        <f t="shared" si="11"/>
        <v>52</v>
      </c>
      <c r="BD37" s="23">
        <f t="shared" si="11"/>
        <v>53</v>
      </c>
      <c r="BE37" s="23">
        <f t="shared" si="11"/>
        <v>54</v>
      </c>
      <c r="BF37" s="23">
        <f t="shared" si="11"/>
        <v>55</v>
      </c>
      <c r="BG37" s="23">
        <f t="shared" si="11"/>
        <v>56</v>
      </c>
      <c r="BH37" s="23">
        <f t="shared" si="11"/>
        <v>57</v>
      </c>
      <c r="BI37" s="23">
        <f t="shared" si="11"/>
        <v>58</v>
      </c>
      <c r="BJ37" s="23">
        <f t="shared" si="11"/>
        <v>59</v>
      </c>
      <c r="BK37" s="23">
        <f t="shared" si="11"/>
        <v>60</v>
      </c>
      <c r="BL37" s="23">
        <f t="shared" si="11"/>
        <v>61</v>
      </c>
      <c r="BM37" s="23">
        <f t="shared" si="11"/>
        <v>62</v>
      </c>
      <c r="BN37" s="23">
        <f t="shared" si="11"/>
        <v>63</v>
      </c>
    </row>
    <row r="38" spans="2:66" x14ac:dyDescent="0.25">
      <c r="B38" s="7" t="s">
        <v>130</v>
      </c>
      <c r="C38" s="14" t="str">
        <f t="shared" ref="C38:R38" si="12">C35</f>
        <v>FF657375</v>
      </c>
      <c r="D38" s="14" t="str">
        <f t="shared" si="12"/>
        <v>65800000</v>
      </c>
      <c r="E38" s="14" t="str">
        <f t="shared" si="12"/>
        <v>00000000</v>
      </c>
      <c r="F38" s="14" t="str">
        <f t="shared" si="12"/>
        <v>00000000</v>
      </c>
      <c r="G38" s="14" t="str">
        <f t="shared" si="12"/>
        <v>00000000</v>
      </c>
      <c r="H38" s="14" t="str">
        <f t="shared" si="12"/>
        <v>00000000</v>
      </c>
      <c r="I38" s="14" t="str">
        <f t="shared" si="12"/>
        <v>00000000</v>
      </c>
      <c r="J38" s="14" t="str">
        <f t="shared" si="12"/>
        <v>00000000</v>
      </c>
      <c r="K38" s="14" t="str">
        <f t="shared" si="12"/>
        <v>00000000</v>
      </c>
      <c r="L38" s="14" t="str">
        <f t="shared" si="12"/>
        <v>00000000</v>
      </c>
      <c r="M38" s="14" t="str">
        <f t="shared" si="12"/>
        <v>00000000</v>
      </c>
      <c r="N38" s="14" t="str">
        <f t="shared" si="12"/>
        <v>00000000</v>
      </c>
      <c r="O38" s="14" t="str">
        <f t="shared" si="12"/>
        <v>00000000</v>
      </c>
      <c r="P38" s="14" t="str">
        <f t="shared" si="12"/>
        <v>00000000</v>
      </c>
      <c r="Q38" s="14" t="str">
        <f t="shared" si="12"/>
        <v>00000000</v>
      </c>
      <c r="R38" s="14" t="str">
        <f t="shared" si="12"/>
        <v>00000028</v>
      </c>
      <c r="S38" s="13" t="str">
        <f>B71</f>
        <v>0BE08CD5</v>
      </c>
      <c r="T38" s="13" t="str">
        <f>B85</f>
        <v>65910000</v>
      </c>
      <c r="U38" s="13" t="str">
        <f>B99</f>
        <v>57F2DCAF</v>
      </c>
      <c r="V38" s="13" t="str">
        <f>B114</f>
        <v>A0195A3A</v>
      </c>
      <c r="W38" s="13" t="str">
        <f>B122</f>
        <v>35D7BDB0</v>
      </c>
      <c r="X38" s="13" t="str">
        <f>B130</f>
        <v>86720259</v>
      </c>
      <c r="Y38" s="13" t="str">
        <f>B138</f>
        <v>296369E6</v>
      </c>
      <c r="Z38" s="13" t="str">
        <f>B146</f>
        <v>4D26FC4C</v>
      </c>
      <c r="AA38" s="13" t="str">
        <f>B154</f>
        <v>3F568947</v>
      </c>
      <c r="AB38" s="13" t="str">
        <f>B162</f>
        <v>F9AFC337</v>
      </c>
      <c r="AC38" s="13" t="str">
        <f>B170</f>
        <v>359E081D</v>
      </c>
      <c r="AD38" s="13" t="str">
        <f>B178</f>
        <v>4F9B25C2</v>
      </c>
      <c r="AE38" s="13" t="str">
        <f>B186</f>
        <v>4B725E57</v>
      </c>
      <c r="AF38" s="13" t="str">
        <f>B194</f>
        <v>1FADF2DD</v>
      </c>
      <c r="AG38" s="13" t="str">
        <f>B202</f>
        <v>02248C91</v>
      </c>
      <c r="AH38" s="13" t="str">
        <f>B210</f>
        <v>0EE7E349</v>
      </c>
      <c r="AI38" s="13" t="str">
        <f>B218</f>
        <v>29E393E5</v>
      </c>
      <c r="AJ38" s="13" t="str">
        <f>B226</f>
        <v>8C779344</v>
      </c>
      <c r="AK38" s="13" t="str">
        <f>B234</f>
        <v>9ADFFD8F</v>
      </c>
      <c r="AL38" s="13" t="str">
        <f>B242</f>
        <v>B132D89A</v>
      </c>
      <c r="AM38" s="13" t="str">
        <f>B250</f>
        <v>7A2B002B</v>
      </c>
      <c r="AN38" s="13" t="str">
        <f>B258</f>
        <v>D30FF2AA</v>
      </c>
      <c r="AO38" s="13" t="str">
        <f>B266</f>
        <v>468726F7</v>
      </c>
      <c r="AP38" s="13" t="str">
        <f>B274</f>
        <v>AA05343A</v>
      </c>
      <c r="AQ38" s="13" t="str">
        <f>B282</f>
        <v>C38E6070</v>
      </c>
      <c r="AR38" s="13" t="str">
        <f>B290</f>
        <v>901FF249</v>
      </c>
      <c r="AS38" s="13" t="str">
        <f>B298</f>
        <v>26F43BFA</v>
      </c>
      <c r="AT38" s="13" t="str">
        <f>B306</f>
        <v>017DA187</v>
      </c>
      <c r="AU38" s="13" t="str">
        <f>B314</f>
        <v>7E8BDE00</v>
      </c>
      <c r="AV38" s="13" t="str">
        <f>B322</f>
        <v>CC8CF1CF</v>
      </c>
      <c r="AW38" s="13" t="str">
        <f>B330</f>
        <v>AC1CC344</v>
      </c>
      <c r="AX38" s="13" t="str">
        <f>B338</f>
        <v>E4FA7FC7</v>
      </c>
      <c r="AY38" s="13" t="str">
        <f>B346</f>
        <v>302C893E</v>
      </c>
      <c r="AZ38" s="13" t="str">
        <f>B354</f>
        <v>169BA6B8</v>
      </c>
      <c r="BA38" s="13" t="str">
        <f>B362</f>
        <v>07750735</v>
      </c>
      <c r="BB38" s="13" t="str">
        <f>B370</f>
        <v>71094EA0</v>
      </c>
      <c r="BC38" s="13" t="str">
        <f>B378</f>
        <v>1DA34582</v>
      </c>
      <c r="BD38" s="13" t="str">
        <f>B386</f>
        <v>3DA56616</v>
      </c>
      <c r="BE38" s="13" t="str">
        <f>B394</f>
        <v>2311D2E0</v>
      </c>
      <c r="BF38" s="13" t="str">
        <f>B402</f>
        <v>5BE34DE4</v>
      </c>
      <c r="BG38" s="13" t="str">
        <f>B410</f>
        <v>2B007E70</v>
      </c>
      <c r="BH38" s="13" t="str">
        <f>B418</f>
        <v>655B3E91</v>
      </c>
      <c r="BI38" s="13" t="str">
        <f>B426</f>
        <v>2F46EAC5</v>
      </c>
      <c r="BJ38" s="13" t="str">
        <f>B434</f>
        <v>105123B0</v>
      </c>
      <c r="BK38" s="13" t="str">
        <f>B442</f>
        <v>1EDE9D00</v>
      </c>
      <c r="BL38" s="13" t="str">
        <f>B450</f>
        <v>51536E02</v>
      </c>
      <c r="BM38" s="13" t="str">
        <f>B458</f>
        <v>B1CF0E74</v>
      </c>
      <c r="BN38" s="13" t="str">
        <f>B466</f>
        <v>42FA78CD</v>
      </c>
    </row>
    <row r="46" spans="2:66" x14ac:dyDescent="0.25">
      <c r="H46" s="16"/>
    </row>
    <row r="49" spans="1:2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2" x14ac:dyDescent="0.25">
      <c r="A50" s="1"/>
      <c r="B50" s="8" t="s">
        <v>131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7" t="s">
        <v>207</v>
      </c>
      <c r="O50" s="1"/>
      <c r="P50" s="1"/>
      <c r="Q50" s="1"/>
      <c r="R50" s="1"/>
      <c r="S50" s="1"/>
      <c r="T50" s="1"/>
    </row>
    <row r="51" spans="1:2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2" x14ac:dyDescent="0.25">
      <c r="A53" s="17" t="s">
        <v>202</v>
      </c>
      <c r="B53" s="17" t="s">
        <v>200</v>
      </c>
      <c r="C53" s="1"/>
      <c r="D53" s="1"/>
      <c r="E53" s="1"/>
      <c r="F53" s="1"/>
      <c r="G53" s="18" t="s">
        <v>183</v>
      </c>
      <c r="H53" s="17" t="s">
        <v>201</v>
      </c>
      <c r="I53" s="1"/>
      <c r="J53" s="1"/>
      <c r="K53" s="1"/>
      <c r="L53" s="1"/>
      <c r="M53" s="18" t="s">
        <v>183</v>
      </c>
      <c r="N53" s="8" t="s">
        <v>191</v>
      </c>
      <c r="O53" s="1"/>
      <c r="P53" s="1"/>
      <c r="Q53" s="1"/>
      <c r="R53" s="1"/>
      <c r="S53" s="1"/>
      <c r="T53" s="1"/>
      <c r="U53" s="26" t="s">
        <v>183</v>
      </c>
      <c r="V53" s="8" t="s">
        <v>382</v>
      </c>
    </row>
    <row r="54" spans="1:2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2" x14ac:dyDescent="0.25">
      <c r="A55" s="1" t="s">
        <v>134</v>
      </c>
      <c r="B55" s="1"/>
      <c r="C55" s="1" t="s">
        <v>133</v>
      </c>
      <c r="D55" s="1" t="s">
        <v>132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2" x14ac:dyDescent="0.25">
      <c r="A57" s="17" t="s">
        <v>135</v>
      </c>
      <c r="B57" s="1" t="s">
        <v>189</v>
      </c>
      <c r="C57" s="1" t="str">
        <f>HEX2BIN(LEFT(Q35,2),8)&amp;HEX2BIN(MID(Q35,3,2),8)&amp;HEX2BIN(MID(Q35,5,2),8)&amp;HEX2BIN(RIGHT(Q35,2),8)</f>
        <v>00000000000000000000000000000000</v>
      </c>
      <c r="D57" s="1"/>
      <c r="E57" s="1"/>
      <c r="F57" s="1"/>
      <c r="G57" s="12"/>
      <c r="H57" s="1" t="s">
        <v>184</v>
      </c>
      <c r="I57" s="1" t="str">
        <f>HEX2BIN(LEFT(L35,2),8)&amp;HEX2BIN(MID(L35,3,2),8)&amp;HEX2BIN(MID(L35,5,2),8)&amp;HEX2BIN(RIGHT(L35,2),8)</f>
        <v>00000000000000000000000000000000</v>
      </c>
      <c r="J57" s="1"/>
      <c r="K57" s="1"/>
      <c r="L57" s="1"/>
      <c r="M57" s="1"/>
      <c r="N57" s="1" t="s">
        <v>192</v>
      </c>
      <c r="O57" s="1" t="str">
        <f>HEX2BIN(LEFT(D35,2),8)&amp;HEX2BIN(MID(D35,3,2),8)&amp;HEX2BIN(MID(D35,5,2),8)&amp;HEX2BIN(RIGHT(D35,2),8)</f>
        <v>01100101100000000000000000000000</v>
      </c>
      <c r="P57" s="1"/>
      <c r="Q57" s="1"/>
      <c r="R57" s="1"/>
      <c r="S57" s="1"/>
      <c r="T57" s="1"/>
    </row>
    <row r="58" spans="1:22" x14ac:dyDescent="0.25">
      <c r="A58" s="1"/>
      <c r="B58" s="1"/>
      <c r="C58" s="1"/>
      <c r="D58" s="1"/>
      <c r="E58" s="1"/>
      <c r="F58" s="1"/>
      <c r="G58" s="12"/>
      <c r="H58" s="1"/>
      <c r="I58" s="1"/>
      <c r="J58" s="1"/>
      <c r="K58" s="1"/>
      <c r="L58" s="1"/>
      <c r="M58" s="1"/>
      <c r="N58" s="1"/>
      <c r="O58" s="1" t="str" cm="1">
        <f t="array" ref="O58">HexToBits(D38)</f>
        <v>01100101100000000000000000000000</v>
      </c>
      <c r="P58" s="1"/>
      <c r="Q58" s="1"/>
      <c r="R58" s="1"/>
      <c r="S58" s="1"/>
      <c r="T58" s="1"/>
    </row>
    <row r="59" spans="1:22" x14ac:dyDescent="0.25">
      <c r="A59" s="1"/>
      <c r="B59" s="1"/>
      <c r="C59" s="1"/>
      <c r="D59" s="1"/>
      <c r="E59" s="1"/>
      <c r="F59" s="1"/>
      <c r="G59" s="12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2" x14ac:dyDescent="0.25">
      <c r="A60" s="17" t="s">
        <v>204</v>
      </c>
      <c r="B60" s="1"/>
      <c r="C60" s="1" t="str">
        <f>RIGHT(C57,17)&amp;LEFT(C57,15)</f>
        <v>00000000000000000000000000000000</v>
      </c>
      <c r="D60" s="1"/>
      <c r="E60" s="1"/>
      <c r="F60" s="1"/>
      <c r="G60" s="12"/>
      <c r="H60" s="1"/>
      <c r="I60" s="1"/>
      <c r="J60" s="1"/>
      <c r="K60" s="1"/>
      <c r="L60" s="1"/>
      <c r="M60" s="1"/>
      <c r="N60" s="17" t="s">
        <v>208</v>
      </c>
      <c r="O60" s="1"/>
      <c r="P60" s="1" t="str">
        <f>RIGHT(O57,1)&amp;LEFT(O57,31)</f>
        <v>00110010110000000000000000000000</v>
      </c>
      <c r="Q60" s="1"/>
      <c r="R60" s="1"/>
      <c r="S60" s="1"/>
      <c r="T60" s="1"/>
    </row>
    <row r="61" spans="1:22" x14ac:dyDescent="0.25">
      <c r="A61" s="1"/>
      <c r="B61" s="1"/>
      <c r="C61" s="1"/>
      <c r="D61" s="1"/>
      <c r="E61" s="1"/>
      <c r="F61" s="1"/>
      <c r="G61" s="12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2" x14ac:dyDescent="0.25">
      <c r="A62" s="17" t="s">
        <v>205</v>
      </c>
      <c r="B62" s="1"/>
      <c r="C62" s="1" t="str">
        <f>RIGHT(C57,19)&amp;LEFT(C57,13)</f>
        <v>00000000000000000000000000000000</v>
      </c>
      <c r="D62" s="1"/>
      <c r="E62" s="1"/>
      <c r="F62" s="1"/>
      <c r="G62" s="12"/>
      <c r="H62" s="1"/>
      <c r="I62" s="1"/>
      <c r="J62" s="1"/>
      <c r="K62" s="1"/>
      <c r="L62" s="1"/>
      <c r="M62" s="1"/>
      <c r="N62" s="17" t="s">
        <v>209</v>
      </c>
      <c r="O62" s="1"/>
      <c r="P62" s="1" t="str">
        <f>RIGHT(O57,8)&amp;LEFT(O57,24)</f>
        <v>00000000011001011000000000000000</v>
      </c>
      <c r="Q62" s="1"/>
      <c r="R62" s="1"/>
      <c r="S62" s="1"/>
      <c r="T62" s="1"/>
    </row>
    <row r="63" spans="1:22" x14ac:dyDescent="0.25">
      <c r="A63" s="1"/>
      <c r="B63" s="1"/>
      <c r="C63" s="1"/>
      <c r="D63" s="1"/>
      <c r="E63" s="1"/>
      <c r="F63" s="1"/>
      <c r="G63" s="12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2" x14ac:dyDescent="0.25">
      <c r="A64" s="17" t="s">
        <v>206</v>
      </c>
      <c r="B64" s="1"/>
      <c r="C64" s="1" t="str">
        <f>REPT(0,10)&amp;LEFT(C57,22)</f>
        <v>00000000000000000000000000000000</v>
      </c>
      <c r="D64" s="1"/>
      <c r="E64" s="1"/>
      <c r="F64" s="1"/>
      <c r="G64" s="12"/>
      <c r="H64" s="1"/>
      <c r="I64" s="1"/>
      <c r="J64" s="1"/>
      <c r="K64" s="1"/>
      <c r="L64" s="1"/>
      <c r="M64" s="1"/>
      <c r="N64" s="17" t="s">
        <v>210</v>
      </c>
      <c r="O64" s="1"/>
      <c r="P64" s="1" t="str">
        <f>REPT(0,7)&amp;LEFT(O57,25)</f>
        <v>00000000110010110000000000000000</v>
      </c>
      <c r="Q64" s="1"/>
      <c r="R64" s="1"/>
      <c r="S64" s="1"/>
      <c r="T64" s="1"/>
    </row>
    <row r="65" spans="1:23" x14ac:dyDescent="0.25">
      <c r="A65" s="1"/>
      <c r="B65" s="1"/>
      <c r="C65" s="1"/>
      <c r="D65" s="1"/>
      <c r="E65" s="1"/>
      <c r="F65" s="1"/>
      <c r="G65" s="12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3" x14ac:dyDescent="0.25">
      <c r="A66" s="1"/>
      <c r="B66" s="1"/>
      <c r="C66" s="1"/>
      <c r="D66" s="1"/>
      <c r="E66" s="1"/>
      <c r="F66" s="1"/>
      <c r="G66" s="12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3" x14ac:dyDescent="0.25">
      <c r="A67" s="17" t="s">
        <v>203</v>
      </c>
      <c r="B67" s="1"/>
      <c r="C67" s="1" t="str" cm="1">
        <f t="array" ref="C67">SSIG1_H(Q38)</f>
        <v>00000000</v>
      </c>
      <c r="D67" s="1"/>
      <c r="E67" s="1"/>
      <c r="F67" s="1"/>
      <c r="G67" s="18" t="s">
        <v>183</v>
      </c>
      <c r="H67" s="17" t="s">
        <v>184</v>
      </c>
      <c r="I67" s="1" t="str">
        <f>L38</f>
        <v>00000000</v>
      </c>
      <c r="J67" s="1"/>
      <c r="K67" s="1"/>
      <c r="L67" s="1"/>
      <c r="M67" s="12" t="s">
        <v>183</v>
      </c>
      <c r="N67" s="17" t="s">
        <v>211</v>
      </c>
      <c r="O67" s="1"/>
      <c r="P67" s="1" t="str" cm="1">
        <f t="array" ref="P67">SSIG0_H(D38)</f>
        <v>0C7B1960</v>
      </c>
      <c r="Q67" s="1"/>
      <c r="R67" s="1"/>
      <c r="S67" s="1"/>
      <c r="T67" s="1"/>
      <c r="U67" s="26" t="s">
        <v>183</v>
      </c>
      <c r="V67" s="7" t="s">
        <v>383</v>
      </c>
      <c r="W67" t="str">
        <f>C38</f>
        <v>FF657375</v>
      </c>
    </row>
    <row r="68" spans="1:23" x14ac:dyDescent="0.25">
      <c r="A68" s="17" t="s">
        <v>228</v>
      </c>
      <c r="B68" s="1"/>
      <c r="C68" s="1" t="str" cm="1">
        <f t="array" ref="C68">HexToBits(C67)</f>
        <v>00000000000000000000000000000000</v>
      </c>
      <c r="D68" s="1"/>
      <c r="E68" s="1"/>
      <c r="F68" s="1"/>
      <c r="G68" s="12"/>
      <c r="H68" s="1"/>
      <c r="I68" s="1" t="str" cm="1">
        <f t="array" ref="I68">HexToBits(I67)</f>
        <v>00000000000000000000000000000000</v>
      </c>
      <c r="J68" s="1"/>
      <c r="K68" s="1"/>
      <c r="L68" s="1"/>
      <c r="M68" s="1"/>
      <c r="N68" s="1"/>
      <c r="O68" s="1"/>
      <c r="P68" s="1" t="str" cm="1">
        <f t="array" ref="P68">HexToBits(P67)</f>
        <v>00001100011110110001100101100000</v>
      </c>
      <c r="Q68" s="1"/>
      <c r="R68" s="1"/>
      <c r="S68" s="1"/>
      <c r="T68" s="1"/>
      <c r="W68" t="str" cm="1">
        <f t="array" ref="W68">HexToBits(W67)</f>
        <v>11111111011001010111001101110101</v>
      </c>
    </row>
    <row r="69" spans="1:23" x14ac:dyDescent="0.25">
      <c r="A69" s="1"/>
      <c r="B69" s="1"/>
      <c r="C69" s="1"/>
      <c r="D69" s="1"/>
      <c r="E69" s="1"/>
      <c r="F69" s="1"/>
      <c r="G69" s="12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3" x14ac:dyDescent="0.25">
      <c r="A70" s="17" t="s">
        <v>212</v>
      </c>
      <c r="B70" s="1" t="str">
        <f>_xlfn.BASE(MOD(_xlfn.DECIMAL(C68,2) + _xlfn.DECIMAL(I68,2) + _xlfn.DECIMAL(P68,2) + _xlfn.DECIMAL(W68,2), 4294967296), 2, 32)</f>
        <v>00001011111000001000110011010101</v>
      </c>
      <c r="C70" s="1"/>
      <c r="D70" s="1"/>
      <c r="E70" s="1"/>
      <c r="F70" s="1"/>
      <c r="G70" s="12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3" x14ac:dyDescent="0.25">
      <c r="A71" s="17" t="s">
        <v>213</v>
      </c>
      <c r="B71" s="1" t="str">
        <f>BIN2HEX(LEFT(B70,8),2)&amp;BIN2HEX(MID(B70,9,8),2)&amp;BIN2HEX(MID(B70,17,8),2)&amp;BIN2HEX(RIGHT(B70,8),2)</f>
        <v>0BE08CD5</v>
      </c>
      <c r="C71" s="1"/>
      <c r="D71" s="1"/>
      <c r="E71" s="1"/>
      <c r="F71" s="1"/>
      <c r="G71" s="12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3" s="2" customFormat="1" x14ac:dyDescent="0.25">
      <c r="A72" s="19"/>
      <c r="B72" s="20"/>
      <c r="C72" s="20"/>
      <c r="D72" s="20"/>
      <c r="E72" s="20"/>
      <c r="F72" s="20"/>
      <c r="G72" s="21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</row>
    <row r="73" spans="1:23" x14ac:dyDescent="0.25">
      <c r="A73" s="17" t="s">
        <v>136</v>
      </c>
      <c r="B73" s="1" t="s">
        <v>190</v>
      </c>
      <c r="C73" s="1" t="str">
        <f>HEX2BIN(LEFT(R38,2),8)&amp;HEX2BIN(MID(R38,3,2),8)&amp;HEX2BIN(MID(R38,5,2),8)&amp;HEX2BIN(RIGHT(R38,2),8)</f>
        <v>00000000000000000000000000101000</v>
      </c>
      <c r="D73" s="1"/>
      <c r="E73" s="1"/>
      <c r="F73" s="1"/>
      <c r="G73" s="1"/>
      <c r="H73" s="1" t="s">
        <v>185</v>
      </c>
      <c r="I73" s="1" t="str">
        <f>HEX2BIN(LEFT(M38,2),8)&amp;HEX2BIN(MID(M38,3,2),8)&amp;HEX2BIN(MID(M38,5,2),8)&amp;HEX2BIN(RIGHT(M38,2),8)</f>
        <v>00000000000000000000000000000000</v>
      </c>
      <c r="J73" s="1"/>
      <c r="K73" s="1"/>
      <c r="L73" s="1"/>
      <c r="N73" s="1" t="s">
        <v>193</v>
      </c>
      <c r="O73" s="1" t="str">
        <f>HEX2BIN(LEFT(E35,2),8)&amp;HEX2BIN(MID(E35,3,2),8)&amp;HEX2BIN(MID(E35,5,2),8)&amp;HEX2BIN(RIGHT(E35,2),8)</f>
        <v>00000000000000000000000000000000</v>
      </c>
      <c r="P73" s="1"/>
      <c r="Q73" s="1"/>
      <c r="R73" s="1"/>
      <c r="S73" s="1"/>
      <c r="T73" s="1"/>
    </row>
    <row r="74" spans="1:23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3" x14ac:dyDescent="0.25">
      <c r="A75" s="17" t="s">
        <v>204</v>
      </c>
      <c r="B75" s="1"/>
      <c r="C75" s="1" t="str">
        <f>RIGHT(C73,17)&amp;LEFT(C73,15)</f>
        <v>00000000000101000000000000000000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7" t="s">
        <v>208</v>
      </c>
      <c r="O75" s="1"/>
      <c r="P75" s="1" t="str">
        <f>RIGHT(O73,1)&amp;LEFT(O73,31)</f>
        <v>00000000000000000000000000000000</v>
      </c>
      <c r="Q75" s="1"/>
      <c r="R75" s="1"/>
      <c r="S75" s="1"/>
      <c r="T75" s="1"/>
    </row>
    <row r="76" spans="1:23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3" x14ac:dyDescent="0.25">
      <c r="A77" s="17" t="s">
        <v>205</v>
      </c>
      <c r="B77" s="1"/>
      <c r="C77" s="1" t="str">
        <f>RIGHT(C73,19)&amp;LEFT(C73,13)</f>
        <v>00000000000001010000000000000000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7" t="s">
        <v>209</v>
      </c>
      <c r="O77" s="1"/>
      <c r="P77" s="1" t="str">
        <f>RIGHT(O73,8)&amp;LEFT(O73,24)</f>
        <v>00000000000000000000000000000000</v>
      </c>
      <c r="Q77" s="1"/>
      <c r="R77" s="1"/>
      <c r="S77" s="1"/>
      <c r="T77" s="1"/>
    </row>
    <row r="78" spans="1:23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3" x14ac:dyDescent="0.25">
      <c r="A79" s="17" t="s">
        <v>206</v>
      </c>
      <c r="B79" s="1"/>
      <c r="C79" s="1" t="str">
        <f>REPT(0,10)&amp;LEFT(C73,22)</f>
        <v>00000000000000000000000000000000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7" t="s">
        <v>210</v>
      </c>
      <c r="O79" s="1"/>
      <c r="P79" s="1" t="str">
        <f>REPT(0,7)&amp;LEFT(O73,25)</f>
        <v>00000000000000000000000000000000</v>
      </c>
      <c r="Q79" s="1"/>
      <c r="R79" s="1"/>
      <c r="S79" s="1"/>
      <c r="T79" s="1"/>
    </row>
    <row r="80" spans="1:23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3" x14ac:dyDescent="0.25">
      <c r="A81" s="17" t="s">
        <v>214</v>
      </c>
      <c r="B81" s="1"/>
      <c r="C81" s="1" t="str" cm="1">
        <f t="array" ref="C81">SSIG1_H(R38)</f>
        <v>00110000</v>
      </c>
      <c r="D81" s="1"/>
      <c r="E81" s="1"/>
      <c r="F81" s="1"/>
      <c r="G81" s="18" t="s">
        <v>183</v>
      </c>
      <c r="H81" s="17" t="s">
        <v>185</v>
      </c>
      <c r="I81" s="1" t="str">
        <f>M38</f>
        <v>00000000</v>
      </c>
      <c r="J81" s="1"/>
      <c r="K81" s="1"/>
      <c r="L81" s="1"/>
      <c r="M81" s="12" t="s">
        <v>183</v>
      </c>
      <c r="N81" s="17" t="s">
        <v>217</v>
      </c>
      <c r="O81" s="1"/>
      <c r="P81" s="1" t="str" cm="1">
        <f t="array" ref="P81">SSIG0_H(E38)</f>
        <v>00000000</v>
      </c>
      <c r="Q81" s="1"/>
      <c r="R81" s="1"/>
      <c r="S81" s="1"/>
      <c r="T81" s="1"/>
      <c r="U81" s="26" t="s">
        <v>183</v>
      </c>
      <c r="V81" s="7" t="s">
        <v>384</v>
      </c>
      <c r="W81" t="str">
        <f>D38</f>
        <v>65800000</v>
      </c>
    </row>
    <row r="82" spans="1:23" x14ac:dyDescent="0.25">
      <c r="A82" s="17" t="s">
        <v>228</v>
      </c>
      <c r="B82" s="1"/>
      <c r="C82" s="1" t="str" cm="1">
        <f t="array" ref="C82">HexToBits(C81)</f>
        <v>00000000000100010000000000000000</v>
      </c>
      <c r="D82" s="1"/>
      <c r="E82" s="1"/>
      <c r="F82" s="1"/>
      <c r="G82" s="18"/>
      <c r="H82" s="17"/>
      <c r="I82" s="1" t="str" cm="1">
        <f t="array" ref="I82">HexToBits(I81)</f>
        <v>00000000000000000000000000000000</v>
      </c>
      <c r="J82" s="1"/>
      <c r="K82" s="1"/>
      <c r="L82" s="1"/>
      <c r="M82" s="12"/>
      <c r="N82" s="17"/>
      <c r="O82" s="1"/>
      <c r="P82" s="1" t="str" cm="1">
        <f t="array" ref="P82">HexToBits(P81)</f>
        <v>00000000000000000000000000000000</v>
      </c>
      <c r="Q82" s="1"/>
      <c r="R82" s="1"/>
      <c r="S82" s="1"/>
      <c r="T82" s="1"/>
      <c r="W82" t="str" cm="1">
        <f t="array" ref="W82">HexToBits(W81)</f>
        <v>01100101100000000000000000000000</v>
      </c>
    </row>
    <row r="83" spans="1:2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3" x14ac:dyDescent="0.25">
      <c r="A84" s="17" t="s">
        <v>215</v>
      </c>
      <c r="B84" s="1" t="str">
        <f>_xlfn.BASE(MOD(_xlfn.DECIMAL(C82,2) + _xlfn.DECIMAL(I82,2) + _xlfn.DECIMAL(P82,2) + _xlfn.DECIMAL(W82,2), 4294967296), 2, 32)</f>
        <v>01100101100100010000000000000000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3" x14ac:dyDescent="0.25">
      <c r="A85" s="17" t="s">
        <v>213</v>
      </c>
      <c r="B85" s="1" t="str">
        <f>BIN2HEX(LEFT(B84,8),2)&amp;BIN2HEX(MID(B84,9,8),2)&amp;BIN2HEX(MID(B84,17,8),2)&amp;BIN2HEX(RIGHT(B84,8),2)</f>
        <v>65910000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3" s="2" customFormat="1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</row>
    <row r="87" spans="1:23" x14ac:dyDescent="0.25">
      <c r="A87" s="17" t="s">
        <v>137</v>
      </c>
      <c r="B87" s="1" t="s">
        <v>135</v>
      </c>
      <c r="C87" s="1" t="str">
        <f>HEX2BIN(LEFT(S38,2),8)&amp;HEX2BIN(MID(S38,3,2),8)&amp;HEX2BIN(MID(S38,5,2),8)&amp;HEX2BIN(RIGHT(S38,2),8)</f>
        <v>00001011111000001000110011010101</v>
      </c>
      <c r="D87" s="1"/>
      <c r="E87" s="1"/>
      <c r="F87" s="1"/>
      <c r="G87" s="1"/>
      <c r="H87" s="1" t="s">
        <v>186</v>
      </c>
      <c r="I87" s="1" t="str">
        <f>HEX2BIN(LEFT(N35,2),8)&amp;HEX2BIN(MID(N35,3,2),8)&amp;HEX2BIN(MID(N35,5,2),8)&amp;HEX2BIN(RIGHT(N35,2),8)</f>
        <v>00000000000000000000000000000000</v>
      </c>
      <c r="J87" s="1"/>
      <c r="K87" s="1"/>
      <c r="L87" s="1"/>
      <c r="N87" s="1" t="s">
        <v>194</v>
      </c>
      <c r="O87" s="1" t="str">
        <f>HEX2BIN(LEFT(F35,2),8)&amp;HEX2BIN(MID(F35,3,2),8)&amp;HEX2BIN(MID(F35,5,2),8)&amp;HEX2BIN(RIGHT(F35,2),8)</f>
        <v>00000000000000000000000000000000</v>
      </c>
      <c r="P87" s="1"/>
      <c r="Q87" s="1"/>
      <c r="R87" s="1"/>
      <c r="S87" s="1"/>
      <c r="T87" s="1"/>
    </row>
    <row r="88" spans="1:2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1:23" x14ac:dyDescent="0.25">
      <c r="A89" s="17" t="s">
        <v>204</v>
      </c>
      <c r="B89" s="1"/>
      <c r="C89" s="1" t="str">
        <f>RIGHT(C87,17)&amp;LEFT(C87,15)</f>
        <v>01000110011010101000010111110000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7" t="s">
        <v>208</v>
      </c>
      <c r="O89" s="1"/>
      <c r="P89" s="1" t="str">
        <f>RIGHT(O87,1)&amp;LEFT(O87,31)</f>
        <v>00000000000000000000000000000000</v>
      </c>
      <c r="Q89" s="1"/>
      <c r="R89" s="1"/>
      <c r="S89" s="1"/>
      <c r="T89" s="1"/>
    </row>
    <row r="90" spans="1:2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</row>
    <row r="91" spans="1:23" x14ac:dyDescent="0.25">
      <c r="A91" s="17" t="s">
        <v>205</v>
      </c>
      <c r="B91" s="1"/>
      <c r="C91" s="1" t="str">
        <f>RIGHT(C87,19)&amp;LEFT(C87,13)</f>
        <v>00010001100110101010000101111100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7" t="s">
        <v>209</v>
      </c>
      <c r="O91" s="1"/>
      <c r="P91" s="1" t="str">
        <f>RIGHT(O87,8)&amp;LEFT(O87,24)</f>
        <v>00000000000000000000000000000000</v>
      </c>
      <c r="Q91" s="1"/>
      <c r="R91" s="1"/>
      <c r="S91" s="1"/>
      <c r="T91" s="1"/>
    </row>
    <row r="92" spans="1:2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</row>
    <row r="93" spans="1:23" x14ac:dyDescent="0.25">
      <c r="A93" s="17" t="s">
        <v>206</v>
      </c>
      <c r="B93" s="1"/>
      <c r="C93" s="1" t="str">
        <f>REPT(0,10)&amp;LEFT(C87,22)</f>
        <v>00000000000000101111100000100011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7" t="s">
        <v>210</v>
      </c>
      <c r="O93" s="1"/>
      <c r="P93" s="1" t="str">
        <f>REPT(0,7)&amp;LEFT(O87,25)</f>
        <v>00000000000000000000000000000000</v>
      </c>
      <c r="Q93" s="1"/>
      <c r="R93" s="1"/>
      <c r="S93" s="1"/>
      <c r="T93" s="1"/>
    </row>
    <row r="94" spans="1:2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</row>
    <row r="95" spans="1:23" x14ac:dyDescent="0.25">
      <c r="A95" s="17" t="s">
        <v>216</v>
      </c>
      <c r="B95" s="1"/>
      <c r="C95" s="1" t="str" cm="1">
        <f t="array" ref="C95">SSIG1_H(S38)</f>
        <v>57F2DCAF</v>
      </c>
      <c r="D95" s="1"/>
      <c r="E95" s="1"/>
      <c r="F95" s="1"/>
      <c r="G95" s="18" t="s">
        <v>183</v>
      </c>
      <c r="H95" s="17" t="s">
        <v>186</v>
      </c>
      <c r="I95" s="1" t="str">
        <f>N38</f>
        <v>00000000</v>
      </c>
      <c r="J95" s="1"/>
      <c r="K95" s="1"/>
      <c r="L95" s="1"/>
      <c r="M95" s="12" t="s">
        <v>183</v>
      </c>
      <c r="N95" s="17" t="s">
        <v>218</v>
      </c>
      <c r="O95" s="1"/>
      <c r="P95" s="1" t="str" cm="1">
        <f t="array" ref="P95">SSIG0_H(F38)</f>
        <v>00000000</v>
      </c>
      <c r="Q95" s="1"/>
      <c r="R95" s="1"/>
      <c r="S95" s="1"/>
      <c r="T95" s="1"/>
      <c r="U95" s="26" t="s">
        <v>183</v>
      </c>
      <c r="V95" s="7" t="s">
        <v>385</v>
      </c>
      <c r="W95" t="str">
        <f>E38</f>
        <v>00000000</v>
      </c>
    </row>
    <row r="96" spans="1:23" x14ac:dyDescent="0.25">
      <c r="A96" s="17" t="s">
        <v>228</v>
      </c>
      <c r="B96" s="1"/>
      <c r="C96" s="1" t="str" cm="1">
        <f t="array" ref="C96">HexToBits(C95)</f>
        <v>01010111111100101101110010101111</v>
      </c>
      <c r="D96" s="1"/>
      <c r="E96" s="1"/>
      <c r="F96" s="1"/>
      <c r="G96" s="1"/>
      <c r="H96" s="1"/>
      <c r="I96" s="1" t="str" cm="1">
        <f t="array" ref="I96">HexToBits(I95)</f>
        <v>00000000000000000000000000000000</v>
      </c>
      <c r="J96" s="1"/>
      <c r="K96" s="1"/>
      <c r="L96" s="1"/>
      <c r="M96" s="1"/>
      <c r="N96" s="1"/>
      <c r="O96" s="1"/>
      <c r="P96" s="1" t="str" cm="1">
        <f t="array" ref="P96">HexToBits(P95)</f>
        <v>00000000000000000000000000000000</v>
      </c>
      <c r="Q96" s="1"/>
      <c r="R96" s="1"/>
      <c r="S96" s="1"/>
      <c r="T96" s="1"/>
      <c r="W96" t="str" cm="1">
        <f t="array" ref="W96">HexToBits(W95)</f>
        <v>00000000000000000000000000000000</v>
      </c>
    </row>
    <row r="97" spans="1:2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1:23" x14ac:dyDescent="0.25">
      <c r="A98" s="17" t="s">
        <v>229</v>
      </c>
      <c r="B98" s="1" t="str">
        <f>_xlfn.BASE(MOD(_xlfn.DECIMAL(C96,2) + _xlfn.DECIMAL(I96,2) + _xlfn.DECIMAL(P96,2) + _xlfn.DECIMAL(W96,2), 4294967296), 2, 32)</f>
        <v>01010111111100101101110010101111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</row>
    <row r="99" spans="1:23" x14ac:dyDescent="0.25">
      <c r="A99" s="17" t="s">
        <v>213</v>
      </c>
      <c r="B99" s="1" t="str">
        <f>BIN2HEX(LEFT(B98,8),2)&amp;BIN2HEX(MID(B98,9,8),2)&amp;BIN2HEX(MID(B98,17,8),2)&amp;BIN2HEX(RIGHT(B98,8),2)</f>
        <v>57F2DCAF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1:23" s="2" customFormat="1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</row>
    <row r="101" spans="1:23" x14ac:dyDescent="0.25">
      <c r="A101" s="17" t="s">
        <v>138</v>
      </c>
      <c r="B101" s="1" t="s">
        <v>136</v>
      </c>
      <c r="C101" s="1" t="str">
        <f>HEX2BIN(LEFT(T38,2),8)&amp;HEX2BIN(MID(T38,3,2),8)&amp;HEX2BIN(MID(T38,5,2),8)&amp;HEX2BIN(RIGHT(T38,2),8)</f>
        <v>01100101100100010000000000000000</v>
      </c>
      <c r="D101" s="1"/>
      <c r="E101" s="1"/>
      <c r="F101" s="1"/>
      <c r="G101" s="1"/>
      <c r="H101" s="1" t="s">
        <v>187</v>
      </c>
      <c r="I101" s="1" t="str">
        <f>HEX2BIN(LEFT(O35,2),8)&amp;HEX2BIN(MID(O35,3,2),8)&amp;HEX2BIN(MID(O35,5,2),8)&amp;HEX2BIN(RIGHT(O35,2),8)</f>
        <v>00000000000000000000000000000000</v>
      </c>
      <c r="J101" s="1"/>
      <c r="K101" s="1"/>
      <c r="L101" s="1"/>
      <c r="N101" s="1" t="s">
        <v>195</v>
      </c>
      <c r="O101" s="1" t="str">
        <f>HEX2BIN(LEFT(G35,2),8)&amp;HEX2BIN(MID(G35,3,2),8)&amp;HEX2BIN(MID(G35,5,2),8)&amp;HEX2BIN(RIGHT(G35,2),8)</f>
        <v>00000000000000000000000000000000</v>
      </c>
      <c r="P101" s="1"/>
      <c r="Q101" s="1"/>
      <c r="R101" s="1"/>
      <c r="S101" s="1"/>
      <c r="T101" s="1"/>
    </row>
    <row r="102" spans="1:2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</row>
    <row r="103" spans="1:23" x14ac:dyDescent="0.25">
      <c r="A103" s="17" t="s">
        <v>204</v>
      </c>
      <c r="B103" s="1"/>
      <c r="C103" s="1" t="str">
        <f>RIGHT(C101,17)&amp;LEFT(C101,15)</f>
        <v>10000000000000000011001011001000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7" t="s">
        <v>208</v>
      </c>
      <c r="O103" s="1"/>
      <c r="P103" s="1" t="str">
        <f>RIGHT(O101,1)&amp;LEFT(O101,31)</f>
        <v>00000000000000000000000000000000</v>
      </c>
      <c r="Q103" s="1"/>
      <c r="R103" s="1"/>
      <c r="S103" s="1"/>
      <c r="T103" s="1"/>
    </row>
    <row r="104" spans="1:2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</row>
    <row r="105" spans="1:23" x14ac:dyDescent="0.25">
      <c r="A105" s="17" t="s">
        <v>205</v>
      </c>
      <c r="B105" s="1"/>
      <c r="C105" s="1" t="str">
        <f>RIGHT(C101,19)&amp;LEFT(C101,13)</f>
        <v>00100000000000000000110010110010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7" t="s">
        <v>209</v>
      </c>
      <c r="O105" s="1"/>
      <c r="P105" s="1" t="str">
        <f>RIGHT(O101,8)&amp;LEFT(O101,24)</f>
        <v>00000000000000000000000000000000</v>
      </c>
      <c r="Q105" s="1"/>
      <c r="R105" s="1"/>
      <c r="S105" s="1"/>
      <c r="T105" s="1"/>
    </row>
    <row r="106" spans="1:2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</row>
    <row r="107" spans="1:23" x14ac:dyDescent="0.25">
      <c r="A107" s="17" t="s">
        <v>206</v>
      </c>
      <c r="B107" s="1"/>
      <c r="C107" s="1" t="str">
        <f>REPT(0,10)&amp;LEFT(C101,22)</f>
        <v>00000000000110010110010001000000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7" t="s">
        <v>210</v>
      </c>
      <c r="O107" s="1"/>
      <c r="P107" s="1" t="str">
        <f>REPT(0,7)&amp;LEFT(O101,25)</f>
        <v>00000000000000000000000000000000</v>
      </c>
      <c r="Q107" s="1"/>
      <c r="R107" s="1"/>
      <c r="S107" s="1"/>
      <c r="T107" s="1"/>
    </row>
    <row r="108" spans="1:2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</row>
    <row r="109" spans="1:23" x14ac:dyDescent="0.25">
      <c r="A109" s="17" t="s">
        <v>231</v>
      </c>
      <c r="B109" s="1"/>
      <c r="C109" s="1" t="str" cm="1">
        <f t="array" ref="C109">SSIG1_H(T38)</f>
        <v>A0195A3A</v>
      </c>
      <c r="D109" s="1"/>
      <c r="E109" s="1"/>
      <c r="F109" s="1"/>
      <c r="G109" s="18" t="s">
        <v>183</v>
      </c>
      <c r="H109" s="17" t="s">
        <v>187</v>
      </c>
      <c r="I109" s="1" t="str">
        <f>O38</f>
        <v>00000000</v>
      </c>
      <c r="J109" s="1"/>
      <c r="K109" s="1"/>
      <c r="L109" s="1"/>
      <c r="M109" s="12" t="s">
        <v>183</v>
      </c>
      <c r="N109" s="17" t="s">
        <v>219</v>
      </c>
      <c r="O109" s="1"/>
      <c r="P109" s="1" t="str" cm="1">
        <f t="array" ref="P109">SSIG0_H(G38)</f>
        <v>00000000</v>
      </c>
      <c r="Q109" s="1"/>
      <c r="R109" s="1"/>
      <c r="S109" s="1"/>
      <c r="T109" s="1"/>
      <c r="U109" s="26" t="s">
        <v>183</v>
      </c>
      <c r="V109" s="7" t="s">
        <v>386</v>
      </c>
      <c r="W109" t="str">
        <f>F38</f>
        <v>00000000</v>
      </c>
    </row>
    <row r="110" spans="1:23" x14ac:dyDescent="0.25">
      <c r="A110" s="17" t="s">
        <v>228</v>
      </c>
      <c r="B110" s="1"/>
      <c r="C110" s="1" t="str" cm="1">
        <f t="array" ref="C110">HexToBits(C109)</f>
        <v>10100000000110010101101000111010</v>
      </c>
      <c r="D110" s="1"/>
      <c r="E110" s="1"/>
      <c r="F110" s="1"/>
      <c r="G110" s="1"/>
      <c r="H110" s="1"/>
      <c r="I110" s="1" t="str" cm="1">
        <f t="array" ref="I110">HexToBits(I109)</f>
        <v>00000000000000000000000000000000</v>
      </c>
      <c r="J110" s="1"/>
      <c r="K110" s="1"/>
      <c r="L110" s="1"/>
      <c r="M110" s="1"/>
      <c r="N110" s="1"/>
      <c r="O110" s="1"/>
      <c r="P110" s="1" t="str" cm="1">
        <f t="array" ref="P110">HexToBits(P109)</f>
        <v>00000000000000000000000000000000</v>
      </c>
      <c r="Q110" s="1"/>
      <c r="R110" s="1"/>
      <c r="S110" s="1"/>
      <c r="T110" s="1"/>
      <c r="W110" t="str" cm="1">
        <f t="array" ref="W110">HexToBits(W109)</f>
        <v>00000000000000000000000000000000</v>
      </c>
    </row>
    <row r="111" spans="1:23" x14ac:dyDescent="0.25">
      <c r="A111" s="17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1:2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</row>
    <row r="113" spans="1:23" x14ac:dyDescent="0.25">
      <c r="A113" s="17" t="s">
        <v>230</v>
      </c>
      <c r="B113" s="1" t="str">
        <f>_xlfn.BASE(MOD(_xlfn.DECIMAL(C110,2) + _xlfn.DECIMAL(I110,2) + _xlfn.DECIMAL(P110,2) + _xlfn.DECIMAL(W110,2), 4294967296), 2, 32)</f>
        <v>10100000000110010101101000111010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1:23" x14ac:dyDescent="0.25">
      <c r="A114" s="17" t="s">
        <v>213</v>
      </c>
      <c r="B114" s="1" t="str" cm="1">
        <f t="array" ref="B114">BitsToHex(B113)</f>
        <v>A0195A3A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1:23" s="2" customFormat="1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</row>
    <row r="116" spans="1:23" x14ac:dyDescent="0.25">
      <c r="A116" s="17" t="s">
        <v>139</v>
      </c>
      <c r="B116" s="1" t="s">
        <v>137</v>
      </c>
      <c r="C116" s="1"/>
      <c r="D116" s="1"/>
      <c r="E116" s="1"/>
      <c r="F116" s="1"/>
      <c r="G116" s="1"/>
      <c r="H116" s="1" t="s">
        <v>188</v>
      </c>
      <c r="I116" s="1"/>
      <c r="J116" s="1"/>
      <c r="K116" s="1"/>
      <c r="L116" s="1"/>
      <c r="M116" s="1" t="s">
        <v>196</v>
      </c>
      <c r="N116" s="1"/>
      <c r="O116" s="1"/>
      <c r="P116" s="1"/>
      <c r="Q116" s="1"/>
      <c r="R116" s="1"/>
      <c r="S116" s="1"/>
      <c r="T116" s="1"/>
    </row>
    <row r="117" spans="1:23" x14ac:dyDescent="0.25">
      <c r="A117" s="17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1:23" x14ac:dyDescent="0.25">
      <c r="A118" s="17" t="s">
        <v>232</v>
      </c>
      <c r="B118" s="1"/>
      <c r="C118" s="1" t="str" cm="1">
        <f t="array" ref="C118">SSIG1_H(U38)</f>
        <v>35D7BDB0</v>
      </c>
      <c r="D118" s="1"/>
      <c r="E118" s="1"/>
      <c r="F118" s="1"/>
      <c r="G118" s="18" t="s">
        <v>183</v>
      </c>
      <c r="H118" s="17" t="s">
        <v>188</v>
      </c>
      <c r="I118" s="1" t="str">
        <f>P38</f>
        <v>00000000</v>
      </c>
      <c r="J118" s="1"/>
      <c r="K118" s="1"/>
      <c r="L118" s="1"/>
      <c r="M118" s="12" t="s">
        <v>183</v>
      </c>
      <c r="N118" s="17" t="s">
        <v>233</v>
      </c>
      <c r="O118" s="1"/>
      <c r="P118" s="1" t="str" cm="1">
        <f t="array" ref="P118">SSIG0_H(H38)</f>
        <v>00000000</v>
      </c>
      <c r="Q118" s="1"/>
      <c r="R118" s="1"/>
      <c r="S118" s="1"/>
      <c r="T118" s="1"/>
      <c r="U118" s="26" t="s">
        <v>183</v>
      </c>
      <c r="V118" s="7" t="s">
        <v>387</v>
      </c>
      <c r="W118" t="str">
        <f>G38</f>
        <v>00000000</v>
      </c>
    </row>
    <row r="119" spans="1:23" x14ac:dyDescent="0.25">
      <c r="A119" s="17" t="s">
        <v>228</v>
      </c>
      <c r="B119" s="1"/>
      <c r="C119" s="1" t="str" cm="1">
        <f t="array" ref="C119">HexToBits(C118)</f>
        <v>00110101110101111011110110110000</v>
      </c>
      <c r="D119" s="1"/>
      <c r="E119" s="1"/>
      <c r="F119" s="1"/>
      <c r="G119" s="1"/>
      <c r="H119" s="1"/>
      <c r="I119" s="1" t="str" cm="1">
        <f t="array" ref="I119">HexToBits(I118)</f>
        <v>00000000000000000000000000000000</v>
      </c>
      <c r="J119" s="1"/>
      <c r="K119" s="1"/>
      <c r="L119" s="1"/>
      <c r="M119" s="1"/>
      <c r="N119" s="1"/>
      <c r="O119" s="1"/>
      <c r="P119" s="1" t="str" cm="1">
        <f t="array" ref="P119">HexToBits(P118)</f>
        <v>00000000000000000000000000000000</v>
      </c>
      <c r="Q119" s="1"/>
      <c r="R119" s="1"/>
      <c r="S119" s="1"/>
      <c r="T119" s="1"/>
      <c r="W119" t="str" cm="1">
        <f t="array" ref="W119">HexToBits(W118)</f>
        <v>00000000000000000000000000000000</v>
      </c>
    </row>
    <row r="120" spans="1:23" x14ac:dyDescent="0.25">
      <c r="A120" s="17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1:23" x14ac:dyDescent="0.25">
      <c r="A121" s="17" t="s">
        <v>234</v>
      </c>
      <c r="B121" s="1" t="str">
        <f>_xlfn.BASE(MOD(_xlfn.DECIMAL(C119,2) + _xlfn.DECIMAL(I119,2) + _xlfn.DECIMAL(P119,2) + _xlfn.DECIMAL(W119,2), 4294967296), 2, 32)</f>
        <v>00110101110101111011110110110000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1:23" x14ac:dyDescent="0.25">
      <c r="A122" s="17" t="s">
        <v>213</v>
      </c>
      <c r="B122" s="1" t="str" cm="1">
        <f t="array" ref="B122">BitsToHex(B121)</f>
        <v>35D7BDB0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1:23" s="2" customFormat="1" x14ac:dyDescent="0.25">
      <c r="A123" s="19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</row>
    <row r="124" spans="1:23" x14ac:dyDescent="0.25">
      <c r="A124" s="17" t="s">
        <v>140</v>
      </c>
      <c r="B124" s="1" t="s">
        <v>138</v>
      </c>
      <c r="C124" s="1"/>
      <c r="D124" s="1"/>
      <c r="E124" s="1"/>
      <c r="F124" s="1"/>
      <c r="G124" s="1"/>
      <c r="H124" s="1" t="s">
        <v>189</v>
      </c>
      <c r="I124" s="1"/>
      <c r="J124" s="1"/>
      <c r="K124" s="1"/>
      <c r="L124" s="1"/>
      <c r="M124" s="1" t="s">
        <v>197</v>
      </c>
      <c r="N124" s="1"/>
      <c r="O124" s="1"/>
      <c r="P124" s="1"/>
      <c r="Q124" s="1"/>
      <c r="R124" s="1"/>
      <c r="S124" s="1"/>
      <c r="T124" s="1"/>
    </row>
    <row r="125" spans="1:23" x14ac:dyDescent="0.25">
      <c r="A125" s="17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1:23" x14ac:dyDescent="0.25">
      <c r="A126" s="17" t="s">
        <v>220</v>
      </c>
      <c r="B126" s="1"/>
      <c r="C126" s="1" t="str" cm="1">
        <f t="array" ref="C126">SSIG1_H(V38)</f>
        <v>86720259</v>
      </c>
      <c r="D126" s="1"/>
      <c r="E126" s="1"/>
      <c r="F126" s="1"/>
      <c r="G126" s="18" t="s">
        <v>183</v>
      </c>
      <c r="H126" s="17" t="s">
        <v>189</v>
      </c>
      <c r="I126" s="1" t="str">
        <f>Q38</f>
        <v>00000000</v>
      </c>
      <c r="J126" s="1"/>
      <c r="K126" s="1"/>
      <c r="L126" s="1"/>
      <c r="M126" s="12" t="s">
        <v>183</v>
      </c>
      <c r="N126" s="17" t="s">
        <v>236</v>
      </c>
      <c r="O126" s="1"/>
      <c r="P126" s="1" t="str" cm="1">
        <f t="array" ref="P126">SSIG0_H(I38)</f>
        <v>00000000</v>
      </c>
      <c r="Q126" s="1"/>
      <c r="R126" s="1"/>
      <c r="S126" s="1"/>
      <c r="T126" s="1"/>
      <c r="U126" s="26" t="s">
        <v>183</v>
      </c>
      <c r="V126" s="7" t="s">
        <v>388</v>
      </c>
      <c r="W126" t="str">
        <f>H38</f>
        <v>00000000</v>
      </c>
    </row>
    <row r="127" spans="1:23" x14ac:dyDescent="0.25">
      <c r="A127" s="17" t="s">
        <v>228</v>
      </c>
      <c r="B127" s="1"/>
      <c r="C127" s="1" t="str" cm="1">
        <f t="array" ref="C127">HexToBits(C126)</f>
        <v>10000110011100100000001001011001</v>
      </c>
      <c r="D127" s="1"/>
      <c r="E127" s="1"/>
      <c r="F127" s="1"/>
      <c r="G127" s="1"/>
      <c r="H127" s="1"/>
      <c r="I127" s="1" t="str" cm="1">
        <f t="array" ref="I127">HexToBits(I126)</f>
        <v>00000000000000000000000000000000</v>
      </c>
      <c r="J127" s="1"/>
      <c r="K127" s="1"/>
      <c r="L127" s="1"/>
      <c r="M127" s="1"/>
      <c r="N127" s="1"/>
      <c r="O127" s="1"/>
      <c r="P127" s="1" t="str" cm="1">
        <f t="array" ref="P127">HexToBits(P126)</f>
        <v>00000000000000000000000000000000</v>
      </c>
      <c r="Q127" s="1"/>
      <c r="R127" s="1"/>
      <c r="S127" s="1"/>
      <c r="T127" s="1"/>
      <c r="W127" t="str" cm="1">
        <f t="array" ref="W127">HexToBits(W126)</f>
        <v>00000000000000000000000000000000</v>
      </c>
    </row>
    <row r="128" spans="1:23" x14ac:dyDescent="0.25">
      <c r="A128" s="17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1:23" x14ac:dyDescent="0.25">
      <c r="A129" s="17" t="s">
        <v>235</v>
      </c>
      <c r="B129" s="1" t="str">
        <f>_xlfn.BASE(MOD(_xlfn.DECIMAL(C127,2) + _xlfn.DECIMAL(I127,2) + _xlfn.DECIMAL(P127,2) + _xlfn.DECIMAL(W127,2), 4294967296), 2, 32)</f>
        <v>10000110011100100000001001011001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1:23" x14ac:dyDescent="0.25">
      <c r="A130" s="17" t="s">
        <v>213</v>
      </c>
      <c r="B130" s="1" t="str" cm="1">
        <f t="array" ref="B130">BitsToHex(B129)</f>
        <v>86720259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1:23" s="2" customFormat="1" x14ac:dyDescent="0.25">
      <c r="A131" s="19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</row>
    <row r="132" spans="1:23" x14ac:dyDescent="0.25">
      <c r="A132" s="17" t="s">
        <v>141</v>
      </c>
      <c r="B132" s="1" t="s">
        <v>139</v>
      </c>
      <c r="C132" s="1"/>
      <c r="D132" s="1"/>
      <c r="E132" s="1"/>
      <c r="F132" s="1"/>
      <c r="G132" s="1"/>
      <c r="H132" s="1" t="s">
        <v>190</v>
      </c>
      <c r="I132" s="1"/>
      <c r="J132" s="1"/>
      <c r="K132" s="1"/>
      <c r="L132" s="1"/>
      <c r="M132" s="1" t="s">
        <v>198</v>
      </c>
      <c r="N132" s="1"/>
      <c r="O132" s="1"/>
      <c r="P132" s="1"/>
      <c r="Q132" s="1"/>
      <c r="R132" s="1"/>
      <c r="S132" s="1"/>
      <c r="T132" s="1"/>
    </row>
    <row r="133" spans="1:23" x14ac:dyDescent="0.25">
      <c r="A133" s="17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1:23" x14ac:dyDescent="0.25">
      <c r="A134" s="17" t="s">
        <v>237</v>
      </c>
      <c r="B134" s="1"/>
      <c r="C134" s="1" t="str" cm="1">
        <f t="array" ref="C134">SSIG1_H(W38)</f>
        <v>296369BE</v>
      </c>
      <c r="D134" s="1"/>
      <c r="E134" s="1"/>
      <c r="F134" s="1"/>
      <c r="G134" s="18" t="s">
        <v>183</v>
      </c>
      <c r="H134" s="17" t="s">
        <v>190</v>
      </c>
      <c r="I134" s="1" t="str">
        <f>R38</f>
        <v>00000028</v>
      </c>
      <c r="J134" s="1"/>
      <c r="K134" s="1"/>
      <c r="L134" s="1"/>
      <c r="M134" s="12" t="s">
        <v>183</v>
      </c>
      <c r="N134" s="17" t="s">
        <v>238</v>
      </c>
      <c r="O134" s="1"/>
      <c r="P134" s="1" t="str" cm="1">
        <f t="array" ref="P134">SSIG0_H(J38)</f>
        <v>00000000</v>
      </c>
      <c r="Q134" s="1"/>
      <c r="R134" s="1"/>
      <c r="S134" s="1"/>
      <c r="T134" s="1"/>
      <c r="U134" s="26" t="s">
        <v>183</v>
      </c>
      <c r="V134" s="7" t="s">
        <v>389</v>
      </c>
      <c r="W134" t="str">
        <f>I38</f>
        <v>00000000</v>
      </c>
    </row>
    <row r="135" spans="1:23" x14ac:dyDescent="0.25">
      <c r="A135" s="17" t="s">
        <v>228</v>
      </c>
      <c r="B135" s="1"/>
      <c r="C135" s="1" t="str" cm="1">
        <f t="array" ref="C135">HexToBits(C134)</f>
        <v>00101001011000110110100110111110</v>
      </c>
      <c r="D135" s="1"/>
      <c r="E135" s="1"/>
      <c r="F135" s="1"/>
      <c r="G135" s="1"/>
      <c r="H135" s="1"/>
      <c r="I135" s="1" t="str" cm="1">
        <f t="array" ref="I135">HexToBits(I134)</f>
        <v>00000000000000000000000000101000</v>
      </c>
      <c r="J135" s="1"/>
      <c r="K135" s="1"/>
      <c r="L135" s="1"/>
      <c r="M135" s="1"/>
      <c r="N135" s="1"/>
      <c r="O135" s="1"/>
      <c r="P135" s="1" t="str" cm="1">
        <f t="array" ref="P135">HexToBits(P134)</f>
        <v>00000000000000000000000000000000</v>
      </c>
      <c r="Q135" s="1"/>
      <c r="R135" s="1"/>
      <c r="S135" s="1"/>
      <c r="T135" s="1"/>
      <c r="W135" t="str" cm="1">
        <f t="array" ref="W135">HexToBits(W134)</f>
        <v>00000000000000000000000000000000</v>
      </c>
    </row>
    <row r="136" spans="1:23" x14ac:dyDescent="0.25">
      <c r="A136" s="17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3" x14ac:dyDescent="0.25">
      <c r="A137" s="17" t="s">
        <v>239</v>
      </c>
      <c r="B137" s="1" t="str">
        <f>_xlfn.BASE(MOD(_xlfn.DECIMAL(C135,2) + _xlfn.DECIMAL(I135,2) + _xlfn.DECIMAL(P135,2) + _xlfn.DECIMAL(W135,2), 4294967296), 2, 32)</f>
        <v>00101001011000110110100111100110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3" x14ac:dyDescent="0.25">
      <c r="A138" s="17" t="s">
        <v>213</v>
      </c>
      <c r="B138" s="1" t="str" cm="1">
        <f t="array" ref="B138">BitsToHex(B137)</f>
        <v>296369E6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3" s="2" customFormat="1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</row>
    <row r="140" spans="1:23" x14ac:dyDescent="0.25">
      <c r="A140" s="17" t="s">
        <v>142</v>
      </c>
      <c r="B140" s="1" t="s">
        <v>140</v>
      </c>
      <c r="C140" s="1"/>
      <c r="D140" s="1"/>
      <c r="E140" s="1"/>
      <c r="F140" s="1"/>
      <c r="G140" s="1"/>
      <c r="H140" s="1" t="s">
        <v>135</v>
      </c>
      <c r="I140" s="1"/>
      <c r="J140" s="1"/>
      <c r="K140" s="1"/>
      <c r="L140" s="1"/>
      <c r="M140" s="1" t="s">
        <v>199</v>
      </c>
      <c r="N140" s="1"/>
      <c r="O140" s="1"/>
      <c r="P140" s="1"/>
      <c r="Q140" s="1"/>
      <c r="R140" s="1"/>
      <c r="S140" s="1"/>
      <c r="T140" s="1"/>
    </row>
    <row r="141" spans="1:23" x14ac:dyDescent="0.25">
      <c r="A141" s="17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3" x14ac:dyDescent="0.25">
      <c r="A142" s="17" t="s">
        <v>241</v>
      </c>
      <c r="B142" s="1"/>
      <c r="C142" s="1" t="str" cm="1">
        <f t="array" ref="C142">SSIG1_H(X38)</f>
        <v>41466F77</v>
      </c>
      <c r="D142" s="1"/>
      <c r="E142" s="1"/>
      <c r="F142" s="1"/>
      <c r="G142" s="18" t="s">
        <v>183</v>
      </c>
      <c r="H142" s="17" t="s">
        <v>135</v>
      </c>
      <c r="I142" s="1" t="str">
        <f>S38</f>
        <v>0BE08CD5</v>
      </c>
      <c r="J142" s="1"/>
      <c r="K142" s="1"/>
      <c r="L142" s="1"/>
      <c r="M142" s="12" t="s">
        <v>183</v>
      </c>
      <c r="N142" s="17" t="s">
        <v>242</v>
      </c>
      <c r="O142" s="1"/>
      <c r="P142" s="1" t="str" cm="1">
        <f t="array" ref="P142">SSIG0_H(K38)</f>
        <v>00000000</v>
      </c>
      <c r="Q142" s="1"/>
      <c r="R142" s="1"/>
      <c r="S142" s="1"/>
      <c r="T142" s="1"/>
      <c r="U142" s="26" t="s">
        <v>183</v>
      </c>
      <c r="V142" s="7" t="s">
        <v>390</v>
      </c>
      <c r="W142" t="str">
        <f>J38</f>
        <v>00000000</v>
      </c>
    </row>
    <row r="143" spans="1:23" x14ac:dyDescent="0.25">
      <c r="A143" s="17" t="s">
        <v>228</v>
      </c>
      <c r="B143" s="1"/>
      <c r="C143" s="1" t="str" cm="1">
        <f t="array" ref="C143">HexToBits(C142)</f>
        <v>01000001010001100110111101110111</v>
      </c>
      <c r="D143" s="1"/>
      <c r="E143" s="1"/>
      <c r="F143" s="1"/>
      <c r="G143" s="1"/>
      <c r="H143" s="1"/>
      <c r="I143" s="1" t="str" cm="1">
        <f t="array" ref="I143">HexToBits(I142)</f>
        <v>00001011111000001000110011010101</v>
      </c>
      <c r="J143" s="1"/>
      <c r="K143" s="1"/>
      <c r="L143" s="1"/>
      <c r="M143" s="1"/>
      <c r="N143" s="1"/>
      <c r="O143" s="1"/>
      <c r="P143" s="1" t="str" cm="1">
        <f t="array" ref="P143">HexToBits(P142)</f>
        <v>00000000000000000000000000000000</v>
      </c>
      <c r="Q143" s="1"/>
      <c r="R143" s="1"/>
      <c r="S143" s="1"/>
      <c r="T143" s="1"/>
      <c r="W143" t="str" cm="1">
        <f t="array" ref="W143">HexToBits(W142)</f>
        <v>00000000000000000000000000000000</v>
      </c>
    </row>
    <row r="144" spans="1:23" x14ac:dyDescent="0.25">
      <c r="A144" s="17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3" x14ac:dyDescent="0.25">
      <c r="A145" s="17" t="s">
        <v>240</v>
      </c>
      <c r="B145" s="1" t="str">
        <f>_xlfn.BASE(MOD(_xlfn.DECIMAL(C143,2) + _xlfn.DECIMAL(I143,2) + _xlfn.DECIMAL(P143,2) + _xlfn.DECIMAL(W143,2), 4294967296), 2, 32)</f>
        <v>01001101001001101111110001001100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3" x14ac:dyDescent="0.25">
      <c r="A146" s="17" t="s">
        <v>213</v>
      </c>
      <c r="B146" s="1" t="str" cm="1">
        <f t="array" ref="B146">BitsToHex(B145)</f>
        <v>4D26FC4C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3" s="2" customFormat="1" x14ac:dyDescent="0.25">
      <c r="A147" s="19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</row>
    <row r="148" spans="1:23" x14ac:dyDescent="0.25">
      <c r="A148" s="17" t="s">
        <v>143</v>
      </c>
      <c r="B148" s="1" t="s">
        <v>141</v>
      </c>
      <c r="C148" s="1"/>
      <c r="D148" s="1"/>
      <c r="E148" s="1"/>
      <c r="F148" s="1"/>
      <c r="G148" s="1"/>
      <c r="H148" s="1" t="s">
        <v>136</v>
      </c>
      <c r="I148" s="1"/>
      <c r="J148" s="1"/>
      <c r="K148" s="1"/>
      <c r="L148" s="1"/>
      <c r="M148" s="1" t="s">
        <v>184</v>
      </c>
      <c r="N148" s="1"/>
      <c r="O148" s="1"/>
      <c r="P148" s="1"/>
      <c r="Q148" s="1"/>
      <c r="R148" s="1"/>
      <c r="S148" s="1"/>
      <c r="T148" s="1"/>
    </row>
    <row r="149" spans="1:23" x14ac:dyDescent="0.25">
      <c r="A149" s="17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3" x14ac:dyDescent="0.25">
      <c r="A150" s="17" t="s">
        <v>243</v>
      </c>
      <c r="B150" s="1"/>
      <c r="C150" s="1" t="str" cm="1">
        <f t="array" ref="C150">SSIG1_H(Y38)</f>
        <v>D9C58947</v>
      </c>
      <c r="D150" s="1"/>
      <c r="E150" s="1"/>
      <c r="F150" s="1"/>
      <c r="G150" s="18" t="s">
        <v>183</v>
      </c>
      <c r="H150" s="17" t="s">
        <v>136</v>
      </c>
      <c r="I150" s="1" t="str">
        <f>T38</f>
        <v>65910000</v>
      </c>
      <c r="J150" s="1"/>
      <c r="K150" s="1"/>
      <c r="L150" s="1"/>
      <c r="M150" s="12" t="s">
        <v>183</v>
      </c>
      <c r="N150" s="17" t="s">
        <v>244</v>
      </c>
      <c r="O150" s="1"/>
      <c r="P150" s="1" t="str" cm="1">
        <f t="array" ref="P150">SSIG0_H(L38)</f>
        <v>00000000</v>
      </c>
      <c r="Q150" s="1"/>
      <c r="R150" s="1"/>
      <c r="S150" s="1"/>
      <c r="T150" s="1"/>
      <c r="U150" s="26" t="s">
        <v>183</v>
      </c>
      <c r="V150" s="7" t="s">
        <v>391</v>
      </c>
      <c r="W150" t="str">
        <f>K38</f>
        <v>00000000</v>
      </c>
    </row>
    <row r="151" spans="1:23" x14ac:dyDescent="0.25">
      <c r="A151" s="17" t="s">
        <v>228</v>
      </c>
      <c r="B151" s="1"/>
      <c r="C151" s="1" t="str" cm="1">
        <f t="array" ref="C151">HexToBits(C150)</f>
        <v>11011001110001011000100101000111</v>
      </c>
      <c r="D151" s="1"/>
      <c r="E151" s="1"/>
      <c r="F151" s="1"/>
      <c r="G151" s="1"/>
      <c r="H151" s="1"/>
      <c r="I151" s="1" t="str" cm="1">
        <f t="array" ref="I151">HexToBits(I150)</f>
        <v>01100101100100010000000000000000</v>
      </c>
      <c r="J151" s="1"/>
      <c r="K151" s="1"/>
      <c r="L151" s="1"/>
      <c r="M151" s="1"/>
      <c r="N151" s="1"/>
      <c r="O151" s="1"/>
      <c r="P151" s="1" t="str" cm="1">
        <f t="array" ref="P151">HexToBits(P150)</f>
        <v>00000000000000000000000000000000</v>
      </c>
      <c r="Q151" s="1"/>
      <c r="R151" s="1"/>
      <c r="S151" s="1"/>
      <c r="T151" s="1"/>
      <c r="W151" t="str" cm="1">
        <f t="array" ref="W151">HexToBits(W150)</f>
        <v>00000000000000000000000000000000</v>
      </c>
    </row>
    <row r="152" spans="1:23" x14ac:dyDescent="0.25">
      <c r="A152" s="17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3" x14ac:dyDescent="0.25">
      <c r="A153" s="17" t="s">
        <v>249</v>
      </c>
      <c r="B153" s="1" t="str">
        <f>_xlfn.BASE(MOD(_xlfn.DECIMAL(C151,2) + _xlfn.DECIMAL(I151,2) + _xlfn.DECIMAL(P151,2) + _xlfn.DECIMAL(W151,2), 4294967296), 2, 32)</f>
        <v>00111111010101101000100101000111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3" x14ac:dyDescent="0.25">
      <c r="A154" s="17" t="s">
        <v>213</v>
      </c>
      <c r="B154" s="1" t="str" cm="1">
        <f t="array" ref="B154">BitsToHex(B153)</f>
        <v>3F568947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3" s="2" customFormat="1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</row>
    <row r="156" spans="1:23" x14ac:dyDescent="0.25">
      <c r="A156" s="17" t="s">
        <v>144</v>
      </c>
      <c r="B156" s="1" t="s">
        <v>142</v>
      </c>
      <c r="C156" s="1"/>
      <c r="D156" s="1"/>
      <c r="E156" s="1"/>
      <c r="F156" s="1"/>
      <c r="G156" s="1"/>
      <c r="H156" s="1" t="s">
        <v>137</v>
      </c>
      <c r="I156" s="1"/>
      <c r="J156" s="1"/>
      <c r="K156" s="1"/>
      <c r="L156" s="1"/>
      <c r="M156" s="1" t="s">
        <v>185</v>
      </c>
      <c r="N156" s="1"/>
      <c r="O156" s="1"/>
      <c r="P156" s="1"/>
      <c r="Q156" s="1"/>
      <c r="R156" s="1"/>
      <c r="S156" s="1"/>
      <c r="T156" s="1"/>
    </row>
    <row r="157" spans="1:23" x14ac:dyDescent="0.25">
      <c r="A157" s="17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3" x14ac:dyDescent="0.25">
      <c r="A158" s="17" t="s">
        <v>245</v>
      </c>
      <c r="B158" s="1"/>
      <c r="C158" s="1" t="str" cm="1">
        <f t="array" ref="C158">SSIG1_H(Z38)</f>
        <v>A1BCE688</v>
      </c>
      <c r="D158" s="1"/>
      <c r="E158" s="1"/>
      <c r="F158" s="1"/>
      <c r="G158" s="18" t="s">
        <v>183</v>
      </c>
      <c r="H158" s="17" t="s">
        <v>137</v>
      </c>
      <c r="I158" s="1" t="str">
        <f>U38</f>
        <v>57F2DCAF</v>
      </c>
      <c r="J158" s="1"/>
      <c r="K158" s="1"/>
      <c r="L158" s="1"/>
      <c r="M158" s="12" t="s">
        <v>183</v>
      </c>
      <c r="N158" s="17" t="s">
        <v>246</v>
      </c>
      <c r="O158" s="1"/>
      <c r="P158" s="1" t="str" cm="1">
        <f t="array" ref="P158">SSIG0_H(M38)</f>
        <v>00000000</v>
      </c>
      <c r="Q158" s="1"/>
      <c r="R158" s="1"/>
      <c r="S158" s="1"/>
      <c r="T158" s="1"/>
      <c r="U158" s="26" t="s">
        <v>183</v>
      </c>
      <c r="V158" s="7" t="s">
        <v>392</v>
      </c>
      <c r="W158" t="str">
        <f>L38</f>
        <v>00000000</v>
      </c>
    </row>
    <row r="159" spans="1:23" x14ac:dyDescent="0.25">
      <c r="A159" s="17" t="s">
        <v>228</v>
      </c>
      <c r="B159" s="1"/>
      <c r="C159" s="1" t="str" cm="1">
        <f t="array" ref="C159">HexToBits(C158)</f>
        <v>10100001101111001110011010001000</v>
      </c>
      <c r="D159" s="1"/>
      <c r="E159" s="1"/>
      <c r="F159" s="1"/>
      <c r="G159" s="1"/>
      <c r="H159" s="1"/>
      <c r="I159" s="1" t="str" cm="1">
        <f t="array" ref="I159">HexToBits(I158)</f>
        <v>01010111111100101101110010101111</v>
      </c>
      <c r="J159" s="1"/>
      <c r="K159" s="1"/>
      <c r="L159" s="1"/>
      <c r="M159" s="1"/>
      <c r="N159" s="1"/>
      <c r="O159" s="1"/>
      <c r="P159" s="1" t="str" cm="1">
        <f t="array" ref="P159">HexToBits(P158)</f>
        <v>00000000000000000000000000000000</v>
      </c>
      <c r="Q159" s="1"/>
      <c r="R159" s="1"/>
      <c r="S159" s="1"/>
      <c r="T159" s="1"/>
      <c r="W159" t="str" cm="1">
        <f t="array" ref="W159">HexToBits(W158)</f>
        <v>00000000000000000000000000000000</v>
      </c>
    </row>
    <row r="160" spans="1:23" x14ac:dyDescent="0.25">
      <c r="A160" s="17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3" x14ac:dyDescent="0.25">
      <c r="A161" s="17" t="s">
        <v>252</v>
      </c>
      <c r="B161" s="1" t="str">
        <f>_xlfn.BASE(MOD(_xlfn.DECIMAL(C159,2) + _xlfn.DECIMAL(I159,2) + _xlfn.DECIMAL(P159,2) + _xlfn.DECIMAL(W159,2), 4294967296), 2, 32)</f>
        <v>11111001101011111100001100110111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3" x14ac:dyDescent="0.25">
      <c r="A162" s="17" t="s">
        <v>213</v>
      </c>
      <c r="B162" s="1" t="str" cm="1">
        <f t="array" ref="B162">BitsToHex(B161)</f>
        <v>F9AFC337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3" s="2" customFormat="1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</row>
    <row r="164" spans="1:23" x14ac:dyDescent="0.25">
      <c r="A164" s="17" t="s">
        <v>145</v>
      </c>
      <c r="B164" s="1" t="s">
        <v>143</v>
      </c>
      <c r="C164" s="1"/>
      <c r="D164" s="1"/>
      <c r="E164" s="1"/>
      <c r="F164" s="1"/>
      <c r="G164" s="1"/>
      <c r="H164" s="1" t="s">
        <v>138</v>
      </c>
      <c r="I164" s="1"/>
      <c r="J164" s="1"/>
      <c r="K164" s="1"/>
      <c r="L164" s="1"/>
      <c r="M164" s="1" t="s">
        <v>186</v>
      </c>
      <c r="N164" s="1"/>
      <c r="O164" s="1"/>
      <c r="P164" s="1"/>
      <c r="Q164" s="1"/>
      <c r="R164" s="1"/>
      <c r="S164" s="1"/>
      <c r="T164" s="1"/>
    </row>
    <row r="165" spans="1:23" x14ac:dyDescent="0.25">
      <c r="A165" s="17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3" x14ac:dyDescent="0.25">
      <c r="A166" s="17" t="s">
        <v>247</v>
      </c>
      <c r="B166" s="1"/>
      <c r="C166" s="1" t="str" cm="1">
        <f t="array" ref="C166">SSIG1_H(AA38)</f>
        <v>9584ADE3</v>
      </c>
      <c r="D166" s="1"/>
      <c r="E166" s="1"/>
      <c r="F166" s="1"/>
      <c r="G166" s="18" t="s">
        <v>183</v>
      </c>
      <c r="H166" s="17" t="s">
        <v>138</v>
      </c>
      <c r="I166" s="1" t="str">
        <f>V38</f>
        <v>A0195A3A</v>
      </c>
      <c r="J166" s="1"/>
      <c r="K166" s="1"/>
      <c r="L166" s="1"/>
      <c r="M166" s="12" t="s">
        <v>183</v>
      </c>
      <c r="N166" s="17" t="s">
        <v>248</v>
      </c>
      <c r="O166" s="1"/>
      <c r="P166" s="1" t="str" cm="1">
        <f t="array" ref="P166">SSIG0_H(N38)</f>
        <v>00000000</v>
      </c>
      <c r="Q166" s="1"/>
      <c r="R166" s="1"/>
      <c r="S166" s="1"/>
      <c r="T166" s="1"/>
      <c r="U166" s="26" t="s">
        <v>183</v>
      </c>
      <c r="V166" s="7" t="s">
        <v>393</v>
      </c>
      <c r="W166" t="str">
        <f>M38</f>
        <v>00000000</v>
      </c>
    </row>
    <row r="167" spans="1:23" x14ac:dyDescent="0.25">
      <c r="A167" s="17" t="s">
        <v>228</v>
      </c>
      <c r="B167" s="1"/>
      <c r="C167" s="1" t="str" cm="1">
        <f t="array" ref="C167">HexToBits(C166)</f>
        <v>10010101100001001010110111100011</v>
      </c>
      <c r="D167" s="1"/>
      <c r="E167" s="1"/>
      <c r="F167" s="1"/>
      <c r="G167" s="1"/>
      <c r="H167" s="1"/>
      <c r="I167" s="1" t="str" cm="1">
        <f t="array" ref="I167">HexToBits(I166)</f>
        <v>10100000000110010101101000111010</v>
      </c>
      <c r="J167" s="1"/>
      <c r="K167" s="1"/>
      <c r="L167" s="1"/>
      <c r="M167" s="1"/>
      <c r="N167" s="1"/>
      <c r="O167" s="1"/>
      <c r="P167" s="1" t="str" cm="1">
        <f t="array" ref="P167">HexToBits(P166)</f>
        <v>00000000000000000000000000000000</v>
      </c>
      <c r="Q167" s="1"/>
      <c r="R167" s="1"/>
      <c r="S167" s="1"/>
      <c r="T167" s="1"/>
      <c r="W167" t="str" cm="1">
        <f t="array" ref="W167">HexToBits(W166)</f>
        <v>00000000000000000000000000000000</v>
      </c>
    </row>
    <row r="168" spans="1:23" x14ac:dyDescent="0.25">
      <c r="A168" s="17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3" x14ac:dyDescent="0.25">
      <c r="A169" s="17" t="s">
        <v>255</v>
      </c>
      <c r="B169" s="1" t="str">
        <f>_xlfn.BASE(MOD(_xlfn.DECIMAL(C167,2) + _xlfn.DECIMAL(I167,2) + _xlfn.DECIMAL(P167,2) + _xlfn.DECIMAL(W167,2), 4294967296), 2, 32)</f>
        <v>00110101100111100000100000011101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3" x14ac:dyDescent="0.25">
      <c r="A170" s="17" t="s">
        <v>213</v>
      </c>
      <c r="B170" s="1" t="str" cm="1">
        <f t="array" ref="B170">BitsToHex(B169)</f>
        <v>359E081D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3" s="2" customFormat="1" x14ac:dyDescent="0.25">
      <c r="A171" s="19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</row>
    <row r="172" spans="1:23" x14ac:dyDescent="0.25">
      <c r="A172" s="17" t="s">
        <v>146</v>
      </c>
      <c r="B172" s="1" t="s">
        <v>144</v>
      </c>
      <c r="C172" s="1"/>
      <c r="D172" s="1"/>
      <c r="E172" s="1"/>
      <c r="F172" s="1"/>
      <c r="G172" s="1"/>
      <c r="H172" s="1" t="s">
        <v>139</v>
      </c>
      <c r="I172" s="1"/>
      <c r="J172" s="1"/>
      <c r="K172" s="1"/>
      <c r="L172" s="1"/>
      <c r="M172" s="1" t="s">
        <v>187</v>
      </c>
      <c r="N172" s="1"/>
      <c r="O172" s="1"/>
      <c r="P172" s="1"/>
      <c r="Q172" s="1"/>
      <c r="R172" s="1"/>
      <c r="S172" s="1"/>
      <c r="T172" s="1"/>
    </row>
    <row r="173" spans="1:23" x14ac:dyDescent="0.25">
      <c r="A173" s="17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3" x14ac:dyDescent="0.25">
      <c r="A174" s="17" t="s">
        <v>250</v>
      </c>
      <c r="B174" s="1"/>
      <c r="C174" s="1" t="str" cm="1">
        <f t="array" ref="C174">SSIG1_H(AB38)</f>
        <v>19C36812</v>
      </c>
      <c r="D174" s="1"/>
      <c r="E174" s="1"/>
      <c r="F174" s="1"/>
      <c r="G174" s="18" t="s">
        <v>183</v>
      </c>
      <c r="H174" s="17" t="s">
        <v>139</v>
      </c>
      <c r="I174" s="1" t="str">
        <f>W38</f>
        <v>35D7BDB0</v>
      </c>
      <c r="J174" s="1"/>
      <c r="K174" s="1"/>
      <c r="L174" s="1"/>
      <c r="M174" s="12" t="s">
        <v>183</v>
      </c>
      <c r="N174" s="17" t="s">
        <v>251</v>
      </c>
      <c r="O174" s="1"/>
      <c r="P174" s="1" t="str" cm="1">
        <f t="array" ref="P174">SSIG0_H(O38)</f>
        <v>00000000</v>
      </c>
      <c r="Q174" s="1"/>
      <c r="R174" s="1"/>
      <c r="S174" s="1"/>
      <c r="T174" s="1"/>
      <c r="U174" s="26" t="s">
        <v>183</v>
      </c>
      <c r="V174" s="7" t="s">
        <v>394</v>
      </c>
      <c r="W174" t="str">
        <f>N38</f>
        <v>00000000</v>
      </c>
    </row>
    <row r="175" spans="1:23" x14ac:dyDescent="0.25">
      <c r="A175" s="17" t="s">
        <v>228</v>
      </c>
      <c r="B175" s="1"/>
      <c r="C175" s="1" t="str" cm="1">
        <f t="array" ref="C175">HexToBits(C174)</f>
        <v>00011001110000110110100000010010</v>
      </c>
      <c r="D175" s="1"/>
      <c r="E175" s="1"/>
      <c r="F175" s="1"/>
      <c r="G175" s="1"/>
      <c r="H175" s="1"/>
      <c r="I175" s="1" t="str" cm="1">
        <f t="array" ref="I175">HexToBits(I174)</f>
        <v>00110101110101111011110110110000</v>
      </c>
      <c r="J175" s="1"/>
      <c r="K175" s="1"/>
      <c r="L175" s="1"/>
      <c r="M175" s="1"/>
      <c r="N175" s="1"/>
      <c r="O175" s="1"/>
      <c r="P175" s="1" t="str" cm="1">
        <f t="array" ref="P175">HexToBits(P174)</f>
        <v>00000000000000000000000000000000</v>
      </c>
      <c r="Q175" s="1"/>
      <c r="R175" s="1"/>
      <c r="S175" s="1"/>
      <c r="T175" s="1"/>
      <c r="W175" t="str" cm="1">
        <f t="array" ref="W175">HexToBits(W174)</f>
        <v>00000000000000000000000000000000</v>
      </c>
    </row>
    <row r="176" spans="1:23" x14ac:dyDescent="0.25">
      <c r="A176" s="17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3" x14ac:dyDescent="0.25">
      <c r="A177" s="17" t="s">
        <v>258</v>
      </c>
      <c r="B177" s="1" t="str">
        <f>_xlfn.BASE(MOD(_xlfn.DECIMAL(C175,2) + _xlfn.DECIMAL(I175,2) + _xlfn.DECIMAL(P175,2) + _xlfn.DECIMAL(W175,2), 4294967296), 2, 32)</f>
        <v>01001111100110110010010111000010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3" x14ac:dyDescent="0.25">
      <c r="A178" s="17" t="s">
        <v>213</v>
      </c>
      <c r="B178" s="1" t="str" cm="1">
        <f t="array" ref="B178">BitsToHex(B177)</f>
        <v>4F9B25C2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3" s="2" customFormat="1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</row>
    <row r="180" spans="1:23" x14ac:dyDescent="0.25">
      <c r="A180" s="17" t="s">
        <v>147</v>
      </c>
      <c r="B180" s="1" t="s">
        <v>145</v>
      </c>
      <c r="C180" s="1"/>
      <c r="D180" s="1"/>
      <c r="E180" s="1"/>
      <c r="F180" s="1"/>
      <c r="G180" s="1"/>
      <c r="H180" s="1" t="s">
        <v>140</v>
      </c>
      <c r="I180" s="1"/>
      <c r="J180" s="1"/>
      <c r="K180" s="1"/>
      <c r="L180" s="1"/>
      <c r="M180" s="1" t="s">
        <v>188</v>
      </c>
      <c r="N180" s="1"/>
      <c r="O180" s="1"/>
      <c r="P180" s="1"/>
      <c r="Q180" s="1"/>
      <c r="R180" s="1"/>
      <c r="S180" s="1"/>
      <c r="T180" s="1"/>
    </row>
    <row r="181" spans="1:23" x14ac:dyDescent="0.25">
      <c r="A181" s="17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3" x14ac:dyDescent="0.25">
      <c r="A182" s="17" t="s">
        <v>253</v>
      </c>
      <c r="B182" s="1"/>
      <c r="C182" s="1" t="str" cm="1">
        <f t="array" ref="C182">SSIG1_H(AC38)</f>
        <v>C5005BFE</v>
      </c>
      <c r="D182" s="1"/>
      <c r="E182" s="1"/>
      <c r="F182" s="1"/>
      <c r="G182" s="18" t="s">
        <v>183</v>
      </c>
      <c r="H182" s="17" t="s">
        <v>140</v>
      </c>
      <c r="I182" s="1" t="str">
        <f>X38</f>
        <v>86720259</v>
      </c>
      <c r="J182" s="1"/>
      <c r="K182" s="1"/>
      <c r="L182" s="1"/>
      <c r="M182" s="12" t="s">
        <v>183</v>
      </c>
      <c r="N182" s="17" t="s">
        <v>254</v>
      </c>
      <c r="O182" s="1"/>
      <c r="P182" s="1" t="str" cm="1">
        <f t="array" ref="P182">SSIG0_H(P38)</f>
        <v>00000000</v>
      </c>
      <c r="Q182" s="1"/>
      <c r="R182" s="1"/>
      <c r="S182" s="1"/>
      <c r="T182" s="1"/>
      <c r="U182" s="26" t="s">
        <v>183</v>
      </c>
      <c r="V182" s="7" t="s">
        <v>395</v>
      </c>
      <c r="W182" t="str">
        <f>O38</f>
        <v>00000000</v>
      </c>
    </row>
    <row r="183" spans="1:23" x14ac:dyDescent="0.25">
      <c r="A183" s="17" t="s">
        <v>228</v>
      </c>
      <c r="B183" s="1"/>
      <c r="C183" s="1" t="str" cm="1">
        <f t="array" ref="C183">HexToBits(C182)</f>
        <v>11000101000000000101101111111110</v>
      </c>
      <c r="D183" s="1"/>
      <c r="E183" s="1"/>
      <c r="F183" s="1"/>
      <c r="G183" s="1"/>
      <c r="H183" s="1"/>
      <c r="I183" s="1" t="str" cm="1">
        <f t="array" ref="I183">HexToBits(I182)</f>
        <v>10000110011100100000001001011001</v>
      </c>
      <c r="J183" s="1"/>
      <c r="K183" s="1"/>
      <c r="L183" s="1"/>
      <c r="M183" s="1"/>
      <c r="N183" s="1"/>
      <c r="O183" s="1"/>
      <c r="P183" s="1" t="str" cm="1">
        <f t="array" ref="P183">HexToBits(P182)</f>
        <v>00000000000000000000000000000000</v>
      </c>
      <c r="Q183" s="1"/>
      <c r="R183" s="1"/>
      <c r="S183" s="1"/>
      <c r="T183" s="1"/>
      <c r="W183" t="str" cm="1">
        <f t="array" ref="W183">HexToBits(W182)</f>
        <v>00000000000000000000000000000000</v>
      </c>
    </row>
    <row r="184" spans="1:23" x14ac:dyDescent="0.25">
      <c r="A184" s="17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3" x14ac:dyDescent="0.25">
      <c r="A185" s="17" t="s">
        <v>261</v>
      </c>
      <c r="B185" s="1" t="str">
        <f>_xlfn.BASE(MOD(_xlfn.DECIMAL(C183,2) + _xlfn.DECIMAL(I183,2) + _xlfn.DECIMAL(P183,2) + _xlfn.DECIMAL(W183,2), 4294967296), 2, 32)</f>
        <v>01001011011100100101111001010111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3" x14ac:dyDescent="0.25">
      <c r="A186" s="17" t="s">
        <v>213</v>
      </c>
      <c r="B186" s="1" t="str" cm="1">
        <f t="array" ref="B186">BitsToHex(B185)</f>
        <v>4B725E57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3" s="2" customFormat="1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</row>
    <row r="188" spans="1:23" x14ac:dyDescent="0.25">
      <c r="A188" s="17" t="s">
        <v>148</v>
      </c>
      <c r="B188" s="1" t="s">
        <v>146</v>
      </c>
      <c r="C188" s="1"/>
      <c r="D188" s="1"/>
      <c r="E188" s="1"/>
      <c r="F188" s="1"/>
      <c r="G188" s="1"/>
      <c r="H188" s="1" t="s">
        <v>141</v>
      </c>
      <c r="I188" s="1"/>
      <c r="J188" s="1"/>
      <c r="K188" s="1"/>
      <c r="L188" s="1"/>
      <c r="M188" s="1" t="s">
        <v>189</v>
      </c>
      <c r="N188" s="1"/>
      <c r="O188" s="1"/>
      <c r="P188" s="1"/>
      <c r="Q188" s="1"/>
      <c r="R188" s="1"/>
      <c r="S188" s="1"/>
      <c r="T188" s="1"/>
    </row>
    <row r="189" spans="1:23" x14ac:dyDescent="0.25">
      <c r="A189" s="17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3" x14ac:dyDescent="0.25">
      <c r="A190" s="17" t="s">
        <v>256</v>
      </c>
      <c r="B190" s="1"/>
      <c r="C190" s="1" t="str" cm="1">
        <f t="array" ref="C190">SSIG1_H(AD38)</f>
        <v>F64A88F7</v>
      </c>
      <c r="D190" s="1"/>
      <c r="E190" s="1"/>
      <c r="F190" s="1"/>
      <c r="G190" s="18" t="s">
        <v>183</v>
      </c>
      <c r="H190" s="17" t="s">
        <v>141</v>
      </c>
      <c r="I190" s="1" t="str">
        <f>Y38</f>
        <v>296369E6</v>
      </c>
      <c r="J190" s="1"/>
      <c r="K190" s="1"/>
      <c r="L190" s="1"/>
      <c r="M190" s="12" t="s">
        <v>183</v>
      </c>
      <c r="N190" s="17" t="s">
        <v>257</v>
      </c>
      <c r="O190" s="1"/>
      <c r="P190" s="1" t="str" cm="1">
        <f t="array" ref="P190">SSIG0_H(Q38)</f>
        <v>00000000</v>
      </c>
      <c r="Q190" s="1"/>
      <c r="R190" s="1"/>
      <c r="S190" s="1"/>
      <c r="T190" s="1"/>
      <c r="U190" s="26" t="s">
        <v>183</v>
      </c>
      <c r="V190" s="7" t="s">
        <v>396</v>
      </c>
      <c r="W190" t="str">
        <f>P38</f>
        <v>00000000</v>
      </c>
    </row>
    <row r="191" spans="1:23" x14ac:dyDescent="0.25">
      <c r="A191" s="17" t="s">
        <v>228</v>
      </c>
      <c r="B191" s="1"/>
      <c r="C191" s="1" t="str" cm="1">
        <f t="array" ref="C191">HexToBits(C190)</f>
        <v>11110110010010101000100011110111</v>
      </c>
      <c r="D191" s="1"/>
      <c r="E191" s="1"/>
      <c r="F191" s="1"/>
      <c r="G191" s="1"/>
      <c r="H191" s="1"/>
      <c r="I191" s="1" t="str" cm="1">
        <f t="array" ref="I191">HexToBits(I190)</f>
        <v>00101001011000110110100111100110</v>
      </c>
      <c r="J191" s="1"/>
      <c r="K191" s="1"/>
      <c r="L191" s="1"/>
      <c r="M191" s="1"/>
      <c r="N191" s="1"/>
      <c r="O191" s="1"/>
      <c r="P191" s="1" t="str" cm="1">
        <f t="array" ref="P191">HexToBits(P190)</f>
        <v>00000000000000000000000000000000</v>
      </c>
      <c r="Q191" s="1"/>
      <c r="R191" s="1"/>
      <c r="S191" s="1"/>
      <c r="T191" s="1"/>
      <c r="W191" t="str" cm="1">
        <f t="array" ref="W191">HexToBits(W190)</f>
        <v>00000000000000000000000000000000</v>
      </c>
    </row>
    <row r="192" spans="1:23" x14ac:dyDescent="0.25">
      <c r="A192" s="17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3" x14ac:dyDescent="0.25">
      <c r="A193" s="17" t="s">
        <v>266</v>
      </c>
      <c r="B193" s="1" t="str">
        <f>_xlfn.BASE(MOD(_xlfn.DECIMAL(C191,2) + _xlfn.DECIMAL(I191,2) + _xlfn.DECIMAL(P191,2) + _xlfn.DECIMAL(W191,2), 4294967296), 2, 32)</f>
        <v>00011111101011011111001011011101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3" x14ac:dyDescent="0.25">
      <c r="A194" s="17" t="s">
        <v>213</v>
      </c>
      <c r="B194" s="1" t="str" cm="1">
        <f t="array" ref="B194">BitsToHex(B193)</f>
        <v>1FADF2DD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3" s="2" customFormat="1" x14ac:dyDescent="0.25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</row>
    <row r="196" spans="1:23" x14ac:dyDescent="0.25">
      <c r="A196" s="17" t="s">
        <v>149</v>
      </c>
      <c r="B196" s="1" t="s">
        <v>147</v>
      </c>
      <c r="C196" s="1"/>
      <c r="D196" s="1"/>
      <c r="E196" s="1"/>
      <c r="F196" s="1"/>
      <c r="G196" s="1"/>
      <c r="H196" s="1" t="s">
        <v>142</v>
      </c>
      <c r="I196" s="1"/>
      <c r="J196" s="1"/>
      <c r="K196" s="1"/>
      <c r="L196" s="1"/>
      <c r="M196" s="1" t="s">
        <v>190</v>
      </c>
      <c r="N196" s="1"/>
      <c r="O196" s="1"/>
      <c r="P196" s="1"/>
      <c r="Q196" s="1"/>
      <c r="R196" s="1"/>
      <c r="S196" s="1"/>
      <c r="T196" s="1"/>
    </row>
    <row r="197" spans="1:23" x14ac:dyDescent="0.25">
      <c r="A197" s="17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3" x14ac:dyDescent="0.25">
      <c r="A198" s="17" t="s">
        <v>259</v>
      </c>
      <c r="B198" s="1"/>
      <c r="C198" s="1" t="str" cm="1">
        <f t="array" ref="C198">SSIG1_H(AE38)</f>
        <v>64F39040</v>
      </c>
      <c r="D198" s="1"/>
      <c r="E198" s="1"/>
      <c r="F198" s="1"/>
      <c r="G198" s="18" t="s">
        <v>183</v>
      </c>
      <c r="H198" s="17" t="s">
        <v>142</v>
      </c>
      <c r="I198" s="1" t="str">
        <f>Z38</f>
        <v>4D26FC4C</v>
      </c>
      <c r="J198" s="1"/>
      <c r="K198" s="1"/>
      <c r="L198" s="1"/>
      <c r="M198" s="12" t="s">
        <v>183</v>
      </c>
      <c r="N198" s="17" t="s">
        <v>260</v>
      </c>
      <c r="O198" s="1"/>
      <c r="P198" s="1" t="str" cm="1">
        <f t="array" ref="P198">SSIG0_H(R38)</f>
        <v>500A0005</v>
      </c>
      <c r="Q198" s="1"/>
      <c r="R198" s="1"/>
      <c r="S198" s="1"/>
      <c r="T198" s="1"/>
      <c r="U198" s="26" t="s">
        <v>183</v>
      </c>
      <c r="V198" s="7" t="s">
        <v>397</v>
      </c>
      <c r="W198" t="str">
        <f>Q38</f>
        <v>00000000</v>
      </c>
    </row>
    <row r="199" spans="1:23" x14ac:dyDescent="0.25">
      <c r="A199" s="17" t="s">
        <v>228</v>
      </c>
      <c r="B199" s="1"/>
      <c r="C199" s="1" t="str" cm="1">
        <f t="array" ref="C199">HexToBits(C198)</f>
        <v>01100100111100111001000001000000</v>
      </c>
      <c r="D199" s="1"/>
      <c r="E199" s="1"/>
      <c r="F199" s="1"/>
      <c r="G199" s="1"/>
      <c r="H199" s="1"/>
      <c r="I199" s="1" t="str" cm="1">
        <f t="array" ref="I199">HexToBits(I198)</f>
        <v>01001101001001101111110001001100</v>
      </c>
      <c r="J199" s="1"/>
      <c r="K199" s="1"/>
      <c r="L199" s="1"/>
      <c r="M199" s="1"/>
      <c r="N199" s="1"/>
      <c r="O199" s="1"/>
      <c r="P199" s="1" t="str" cm="1">
        <f t="array" ref="P199">HexToBits(P198)</f>
        <v>01010000000010100000000000000101</v>
      </c>
      <c r="Q199" s="1"/>
      <c r="R199" s="1"/>
      <c r="S199" s="1"/>
      <c r="T199" s="1"/>
      <c r="W199" t="str" cm="1">
        <f t="array" ref="W199">HexToBits(W198)</f>
        <v>00000000000000000000000000000000</v>
      </c>
    </row>
    <row r="200" spans="1:23" x14ac:dyDescent="0.25">
      <c r="A200" s="17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3" x14ac:dyDescent="0.25">
      <c r="A201" s="17" t="s">
        <v>270</v>
      </c>
      <c r="B201" s="1" t="str">
        <f>_xlfn.BASE(MOD(_xlfn.DECIMAL(C199,2) + _xlfn.DECIMAL(I199,2) + _xlfn.DECIMAL(P199,2) + _xlfn.DECIMAL(W199,2), 4294967296), 2, 32)</f>
        <v>00000010001001001000110010010001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3" x14ac:dyDescent="0.25">
      <c r="A202" s="17" t="s">
        <v>213</v>
      </c>
      <c r="B202" s="1" t="str" cm="1">
        <f t="array" ref="B202">BitsToHex(B201)</f>
        <v>02248C91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3" s="2" customFormat="1" x14ac:dyDescent="0.25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</row>
    <row r="204" spans="1:23" x14ac:dyDescent="0.25">
      <c r="A204" s="17" t="s">
        <v>150</v>
      </c>
      <c r="B204" s="1" t="s">
        <v>148</v>
      </c>
      <c r="C204" s="1"/>
      <c r="D204" s="1"/>
      <c r="E204" s="1"/>
      <c r="F204" s="1"/>
      <c r="G204" s="1"/>
      <c r="H204" s="1" t="s">
        <v>143</v>
      </c>
      <c r="I204" s="1"/>
      <c r="J204" s="1"/>
      <c r="K204" s="1"/>
      <c r="L204" s="1"/>
      <c r="M204" s="1" t="s">
        <v>135</v>
      </c>
      <c r="N204" s="1"/>
      <c r="O204" s="1"/>
      <c r="P204" s="1"/>
      <c r="Q204" s="1"/>
      <c r="R204" s="1"/>
      <c r="S204" s="1"/>
      <c r="T204" s="1"/>
    </row>
    <row r="205" spans="1:23" x14ac:dyDescent="0.25">
      <c r="A205" s="17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3" x14ac:dyDescent="0.25">
      <c r="A206" s="17" t="s">
        <v>262</v>
      </c>
      <c r="B206" s="1"/>
      <c r="C206" s="1" t="str" cm="1">
        <f t="array" ref="C206">SSIG1_H(AF38)</f>
        <v>4732C75F</v>
      </c>
      <c r="D206" s="1"/>
      <c r="E206" s="1"/>
      <c r="F206" s="1"/>
      <c r="G206" s="18" t="s">
        <v>183</v>
      </c>
      <c r="H206" s="17" t="s">
        <v>143</v>
      </c>
      <c r="I206" s="1" t="str">
        <f>AA38</f>
        <v>3F568947</v>
      </c>
      <c r="J206" s="1"/>
      <c r="K206" s="1"/>
      <c r="L206" s="1"/>
      <c r="M206" s="12" t="s">
        <v>183</v>
      </c>
      <c r="N206" s="17" t="s">
        <v>263</v>
      </c>
      <c r="O206" s="1"/>
      <c r="P206" s="1" t="str" cm="1">
        <f t="array" ref="P206">SSIG0_H(S38)</f>
        <v>885E927B</v>
      </c>
      <c r="Q206" s="1"/>
      <c r="R206" s="1"/>
      <c r="S206" s="1"/>
      <c r="T206" s="1"/>
      <c r="U206" s="26" t="s">
        <v>183</v>
      </c>
      <c r="V206" s="7" t="s">
        <v>398</v>
      </c>
      <c r="W206" t="str">
        <f>R38</f>
        <v>00000028</v>
      </c>
    </row>
    <row r="207" spans="1:23" x14ac:dyDescent="0.25">
      <c r="A207" s="17" t="s">
        <v>228</v>
      </c>
      <c r="B207" s="1"/>
      <c r="C207" s="1" t="str" cm="1">
        <f t="array" ref="C207">HexToBits(C206)</f>
        <v>01000111001100101100011101011111</v>
      </c>
      <c r="D207" s="1"/>
      <c r="E207" s="1"/>
      <c r="F207" s="1"/>
      <c r="G207" s="1"/>
      <c r="H207" s="1"/>
      <c r="I207" s="1" t="str" cm="1">
        <f t="array" ref="I207">HexToBits(I206)</f>
        <v>00111111010101101000100101000111</v>
      </c>
      <c r="J207" s="1"/>
      <c r="K207" s="1"/>
      <c r="L207" s="1"/>
      <c r="M207" s="1"/>
      <c r="N207" s="1"/>
      <c r="O207" s="1"/>
      <c r="P207" s="1" t="str" cm="1">
        <f t="array" ref="P207">HexToBits(P206)</f>
        <v>10001000010111101001001001111011</v>
      </c>
      <c r="Q207" s="1"/>
      <c r="R207" s="1"/>
      <c r="S207" s="1"/>
      <c r="T207" s="1"/>
      <c r="W207" t="str" cm="1">
        <f t="array" ref="W207">HexToBits(W206)</f>
        <v>00000000000000000000000000101000</v>
      </c>
    </row>
    <row r="208" spans="1:23" x14ac:dyDescent="0.25">
      <c r="A208" s="17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3" x14ac:dyDescent="0.25">
      <c r="A209" s="17" t="s">
        <v>269</v>
      </c>
      <c r="B209" s="1" t="str">
        <f>_xlfn.BASE(MOD(_xlfn.DECIMAL(C207,2) + _xlfn.DECIMAL(I207,2) + _xlfn.DECIMAL(P207,2) + _xlfn.DECIMAL(W207,2), 4294967296), 2, 32)</f>
        <v>00001110111001111110001101001001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3" x14ac:dyDescent="0.25">
      <c r="A210" s="17" t="s">
        <v>213</v>
      </c>
      <c r="B210" s="1" t="str" cm="1">
        <f t="array" ref="B210">BitsToHex(B209)</f>
        <v>0EE7E349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3" s="2" customFormat="1" x14ac:dyDescent="0.25">
      <c r="A211" s="19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</row>
    <row r="212" spans="1:23" x14ac:dyDescent="0.25">
      <c r="A212" s="17" t="s">
        <v>151</v>
      </c>
      <c r="B212" s="1" t="s">
        <v>149</v>
      </c>
      <c r="C212" s="1"/>
      <c r="D212" s="1"/>
      <c r="E212" s="1"/>
      <c r="F212" s="1"/>
      <c r="G212" s="1"/>
      <c r="H212" s="1" t="s">
        <v>144</v>
      </c>
      <c r="I212" s="1"/>
      <c r="J212" s="1"/>
      <c r="K212" s="1"/>
      <c r="L212" s="1"/>
      <c r="M212" s="1" t="s">
        <v>136</v>
      </c>
      <c r="N212" s="1"/>
      <c r="O212" s="1"/>
      <c r="P212" s="1"/>
      <c r="Q212" s="1"/>
      <c r="R212" s="1"/>
      <c r="S212" s="1"/>
      <c r="T212" s="1"/>
    </row>
    <row r="213" spans="1:23" x14ac:dyDescent="0.25">
      <c r="A213" s="17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3" x14ac:dyDescent="0.25">
      <c r="A214" s="17" t="s">
        <v>264</v>
      </c>
      <c r="B214" s="1"/>
      <c r="C214" s="1" t="str" cm="1">
        <f t="array" ref="C214">SSIG1_H(AG38)</f>
        <v>D7DA2875</v>
      </c>
      <c r="D214" s="1"/>
      <c r="E214" s="1"/>
      <c r="F214" s="1"/>
      <c r="G214" s="18" t="s">
        <v>183</v>
      </c>
      <c r="H214" s="17" t="s">
        <v>144</v>
      </c>
      <c r="I214" s="1" t="str">
        <f>AB38</f>
        <v>F9AFC337</v>
      </c>
      <c r="J214" s="1"/>
      <c r="K214" s="1"/>
      <c r="L214" s="1"/>
      <c r="M214" s="12" t="s">
        <v>183</v>
      </c>
      <c r="N214" s="17" t="s">
        <v>265</v>
      </c>
      <c r="O214" s="1"/>
      <c r="P214" s="1" t="str" cm="1">
        <f t="array" ref="P214">SSIG0_H(T38)</f>
        <v>4C791B64</v>
      </c>
      <c r="Q214" s="1"/>
      <c r="R214" s="1"/>
      <c r="S214" s="1"/>
      <c r="T214" s="1"/>
      <c r="U214" s="26" t="s">
        <v>183</v>
      </c>
      <c r="V214" s="7" t="s">
        <v>399</v>
      </c>
      <c r="W214" t="str">
        <f>S38</f>
        <v>0BE08CD5</v>
      </c>
    </row>
    <row r="215" spans="1:23" x14ac:dyDescent="0.25">
      <c r="A215" s="17" t="s">
        <v>228</v>
      </c>
      <c r="B215" s="1"/>
      <c r="C215" s="1" t="str" cm="1">
        <f t="array" ref="C215">HexToBits(C214)</f>
        <v>11010111110110100010100001110101</v>
      </c>
      <c r="D215" s="1"/>
      <c r="E215" s="1"/>
      <c r="F215" s="1"/>
      <c r="G215" s="1"/>
      <c r="H215" s="1"/>
      <c r="I215" s="1" t="str" cm="1">
        <f t="array" ref="I215">HexToBits(I214)</f>
        <v>11111001101011111100001100110111</v>
      </c>
      <c r="J215" s="1"/>
      <c r="K215" s="1"/>
      <c r="L215" s="1"/>
      <c r="M215" s="1"/>
      <c r="N215" s="1"/>
      <c r="O215" s="1"/>
      <c r="P215" s="1" t="str" cm="1">
        <f t="array" ref="P215">HexToBits(P214)</f>
        <v>01001100011110010001101101100100</v>
      </c>
      <c r="Q215" s="1"/>
      <c r="R215" s="1"/>
      <c r="S215" s="1"/>
      <c r="T215" s="1"/>
      <c r="W215" t="str" cm="1">
        <f t="array" ref="W215">HexToBits(W214)</f>
        <v>00001011111000001000110011010101</v>
      </c>
    </row>
    <row r="216" spans="1:23" x14ac:dyDescent="0.25">
      <c r="A216" s="17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3" x14ac:dyDescent="0.25">
      <c r="A217" s="17" t="s">
        <v>273</v>
      </c>
      <c r="B217" s="1" t="str">
        <f>_xlfn.BASE(MOD(_xlfn.DECIMAL(C215,2) + _xlfn.DECIMAL(I215,2) + _xlfn.DECIMAL(P215,2) + _xlfn.DECIMAL(W215,2), 4294967296), 2, 32)</f>
        <v>00101001111000111001001111100101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3" x14ac:dyDescent="0.25">
      <c r="A218" s="17" t="s">
        <v>213</v>
      </c>
      <c r="B218" s="1" t="str" cm="1">
        <f t="array" ref="B218">BitsToHex(B217)</f>
        <v>29E393E5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3" s="2" customFormat="1" x14ac:dyDescent="0.25">
      <c r="A219" s="19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</row>
    <row r="220" spans="1:23" x14ac:dyDescent="0.25">
      <c r="A220" s="17" t="s">
        <v>152</v>
      </c>
      <c r="B220" s="1" t="s">
        <v>150</v>
      </c>
      <c r="C220" s="1"/>
      <c r="D220" s="1"/>
      <c r="E220" s="1"/>
      <c r="F220" s="1"/>
      <c r="G220" s="1"/>
      <c r="H220" s="1" t="s">
        <v>145</v>
      </c>
      <c r="I220" s="1"/>
      <c r="J220" s="1"/>
      <c r="K220" s="1"/>
      <c r="L220" s="1"/>
      <c r="M220" s="1" t="s">
        <v>137</v>
      </c>
      <c r="N220" s="1"/>
      <c r="O220" s="1"/>
      <c r="P220" s="1"/>
      <c r="Q220" s="1"/>
      <c r="R220" s="1"/>
      <c r="S220" s="1"/>
      <c r="T220" s="1"/>
    </row>
    <row r="221" spans="1:23" x14ac:dyDescent="0.25">
      <c r="A221" s="17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3" x14ac:dyDescent="0.25">
      <c r="A222" s="17" t="s">
        <v>267</v>
      </c>
      <c r="B222" s="1"/>
      <c r="C222" s="1" t="str" cm="1">
        <f t="array" ref="C222">SSIG1_H(AH38)</f>
        <v>0DCE1F57</v>
      </c>
      <c r="D222" s="1"/>
      <c r="E222" s="1"/>
      <c r="F222" s="1"/>
      <c r="G222" s="18" t="s">
        <v>183</v>
      </c>
      <c r="H222" s="17" t="s">
        <v>145</v>
      </c>
      <c r="I222" s="1" t="str">
        <f>AC38</f>
        <v>359E081D</v>
      </c>
      <c r="J222" s="1"/>
      <c r="K222" s="1"/>
      <c r="L222" s="1"/>
      <c r="M222" s="12" t="s">
        <v>183</v>
      </c>
      <c r="N222" s="17" t="s">
        <v>268</v>
      </c>
      <c r="O222" s="1"/>
      <c r="P222" s="1" t="str" cm="1">
        <f t="array" ref="P222">SSIG0_H(U38)</f>
        <v>E37A6BD0</v>
      </c>
      <c r="Q222" s="1"/>
      <c r="R222" s="1"/>
      <c r="S222" s="1"/>
      <c r="T222" s="1"/>
      <c r="U222" s="26" t="s">
        <v>183</v>
      </c>
      <c r="V222" s="7" t="s">
        <v>400</v>
      </c>
      <c r="W222" t="str">
        <f>T38</f>
        <v>65910000</v>
      </c>
    </row>
    <row r="223" spans="1:23" x14ac:dyDescent="0.25">
      <c r="A223" s="17" t="s">
        <v>228</v>
      </c>
      <c r="B223" s="1"/>
      <c r="C223" s="1" t="str" cm="1">
        <f t="array" ref="C223">HexToBits(C222)</f>
        <v>00001101110011100001111101010111</v>
      </c>
      <c r="D223" s="1"/>
      <c r="E223" s="1"/>
      <c r="F223" s="1"/>
      <c r="G223" s="1"/>
      <c r="H223" s="1"/>
      <c r="I223" s="1" t="str" cm="1">
        <f t="array" ref="I223">HexToBits(I222)</f>
        <v>00110101100111100000100000011101</v>
      </c>
      <c r="J223" s="1"/>
      <c r="K223" s="1"/>
      <c r="L223" s="1"/>
      <c r="M223" s="1"/>
      <c r="N223" s="1"/>
      <c r="O223" s="1"/>
      <c r="P223" s="1" t="str" cm="1">
        <f t="array" ref="P223">HexToBits(P222)</f>
        <v>11100011011110100110101111010000</v>
      </c>
      <c r="Q223" s="1"/>
      <c r="R223" s="1"/>
      <c r="S223" s="1"/>
      <c r="T223" s="1"/>
      <c r="W223" t="str" cm="1">
        <f t="array" ref="W223">HexToBits(W222)</f>
        <v>01100101100100010000000000000000</v>
      </c>
    </row>
    <row r="224" spans="1:23" x14ac:dyDescent="0.25">
      <c r="A224" s="17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3" x14ac:dyDescent="0.25">
      <c r="A225" s="17" t="s">
        <v>278</v>
      </c>
      <c r="B225" s="1" t="str">
        <f>_xlfn.BASE(MOD(_xlfn.DECIMAL(C223,2) + _xlfn.DECIMAL(I223,2) + _xlfn.DECIMAL(P223,2) + _xlfn.DECIMAL(W223,2), 4294967296), 2, 32)</f>
        <v>10001100011101111001001101000100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3" x14ac:dyDescent="0.25">
      <c r="A226" s="17" t="s">
        <v>213</v>
      </c>
      <c r="B226" s="1" t="str" cm="1">
        <f t="array" ref="B226">BitsToHex(B225)</f>
        <v>8C779344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3" s="2" customFormat="1" x14ac:dyDescent="0.25">
      <c r="A227" s="19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</row>
    <row r="228" spans="1:23" x14ac:dyDescent="0.25">
      <c r="A228" s="17" t="s">
        <v>153</v>
      </c>
      <c r="B228" s="1" t="s">
        <v>151</v>
      </c>
      <c r="C228" s="1"/>
      <c r="D228" s="1"/>
      <c r="E228" s="1"/>
      <c r="F228" s="1"/>
      <c r="G228" s="1"/>
      <c r="H228" s="1" t="s">
        <v>146</v>
      </c>
      <c r="I228" s="1"/>
      <c r="J228" s="1"/>
      <c r="K228" s="1"/>
      <c r="L228" s="1"/>
      <c r="M228" s="1" t="s">
        <v>138</v>
      </c>
      <c r="N228" s="1"/>
      <c r="O228" s="1"/>
      <c r="P228" s="1"/>
      <c r="Q228" s="1"/>
      <c r="R228" s="1"/>
      <c r="S228" s="1"/>
      <c r="T228" s="1"/>
    </row>
    <row r="229" spans="1:23" x14ac:dyDescent="0.25">
      <c r="A229" s="17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3" x14ac:dyDescent="0.25">
      <c r="A230" s="17" t="s">
        <v>271</v>
      </c>
      <c r="B230" s="1"/>
      <c r="C230" s="1" t="str" cm="1">
        <f t="array" ref="C230">SSIG1_H(AI38)</f>
        <v>BB844929</v>
      </c>
      <c r="D230" s="1"/>
      <c r="E230" s="1"/>
      <c r="F230" s="1"/>
      <c r="G230" s="18" t="s">
        <v>183</v>
      </c>
      <c r="H230" s="17" t="s">
        <v>146</v>
      </c>
      <c r="I230" s="1" t="str">
        <f>AD38</f>
        <v>4F9B25C2</v>
      </c>
      <c r="J230" s="1"/>
      <c r="K230" s="1"/>
      <c r="L230" s="1"/>
      <c r="M230" s="12" t="s">
        <v>183</v>
      </c>
      <c r="N230" s="17" t="s">
        <v>272</v>
      </c>
      <c r="O230" s="1"/>
      <c r="P230" s="1" t="str" cm="1">
        <f t="array" ref="P230">SSIG0_H(V38)</f>
        <v>37CDB1F5</v>
      </c>
      <c r="Q230" s="1"/>
      <c r="R230" s="1"/>
      <c r="S230" s="1"/>
      <c r="T230" s="1"/>
      <c r="U230" s="26" t="s">
        <v>183</v>
      </c>
      <c r="V230" s="7" t="s">
        <v>401</v>
      </c>
      <c r="W230" t="str">
        <f>U38</f>
        <v>57F2DCAF</v>
      </c>
    </row>
    <row r="231" spans="1:23" x14ac:dyDescent="0.25">
      <c r="A231" s="17" t="s">
        <v>228</v>
      </c>
      <c r="B231" s="1"/>
      <c r="C231" s="1" t="str" cm="1">
        <f t="array" ref="C231">HexToBits(C230)</f>
        <v>10111011100001000100100100101001</v>
      </c>
      <c r="D231" s="1"/>
      <c r="E231" s="1"/>
      <c r="F231" s="1"/>
      <c r="G231" s="1"/>
      <c r="H231" s="1"/>
      <c r="I231" s="1" t="str" cm="1">
        <f t="array" ref="I231">HexToBits(I230)</f>
        <v>01001111100110110010010111000010</v>
      </c>
      <c r="J231" s="1"/>
      <c r="K231" s="1"/>
      <c r="L231" s="1"/>
      <c r="M231" s="1"/>
      <c r="N231" s="1"/>
      <c r="O231" s="1"/>
      <c r="P231" s="1" t="str" cm="1">
        <f t="array" ref="P231">HexToBits(P230)</f>
        <v>00110111110011011011000111110101</v>
      </c>
      <c r="Q231" s="1"/>
      <c r="R231" s="1"/>
      <c r="S231" s="1"/>
      <c r="T231" s="1"/>
      <c r="W231" t="str" cm="1">
        <f t="array" ref="W231">HexToBits(W230)</f>
        <v>01010111111100101101110010101111</v>
      </c>
    </row>
    <row r="232" spans="1:23" x14ac:dyDescent="0.25">
      <c r="A232" s="17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3" x14ac:dyDescent="0.25">
      <c r="A233" s="17" t="s">
        <v>279</v>
      </c>
      <c r="B233" s="1" t="str">
        <f>_xlfn.BASE(MOD(_xlfn.DECIMAL(C231,2) + _xlfn.DECIMAL(I231,2) + _xlfn.DECIMAL(P231,2) + _xlfn.DECIMAL(W231,2), 4294967296), 2, 32)</f>
        <v>10011010110111111111110110001111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3" x14ac:dyDescent="0.25">
      <c r="A234" s="17" t="s">
        <v>213</v>
      </c>
      <c r="B234" s="1" t="str" cm="1">
        <f t="array" ref="B234">BitsToHex(B233)</f>
        <v>9ADFFD8F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3" s="2" customFormat="1" x14ac:dyDescent="0.25">
      <c r="A235" s="19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</row>
    <row r="236" spans="1:23" x14ac:dyDescent="0.25">
      <c r="A236" s="17" t="s">
        <v>154</v>
      </c>
      <c r="B236" s="1" t="s">
        <v>152</v>
      </c>
      <c r="C236" s="1"/>
      <c r="D236" s="1"/>
      <c r="E236" s="1"/>
      <c r="F236" s="1"/>
      <c r="G236" s="1"/>
      <c r="H236" s="1" t="s">
        <v>147</v>
      </c>
      <c r="I236" s="1"/>
      <c r="J236" s="1"/>
      <c r="K236" s="1"/>
      <c r="L236" s="1"/>
      <c r="M236" s="1" t="s">
        <v>139</v>
      </c>
      <c r="N236" s="1"/>
      <c r="O236" s="1"/>
      <c r="P236" s="1"/>
      <c r="Q236" s="1"/>
      <c r="R236" s="1"/>
      <c r="S236" s="1"/>
      <c r="T236" s="1"/>
    </row>
    <row r="237" spans="1:23" x14ac:dyDescent="0.25">
      <c r="A237" s="17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3" x14ac:dyDescent="0.25">
      <c r="A238" s="17" t="s">
        <v>274</v>
      </c>
      <c r="B238" s="1"/>
      <c r="C238" s="1" t="str" cm="1">
        <f t="array" ref="C238">SSIG1_H(AJ38)</f>
        <v>3BE9CA51</v>
      </c>
      <c r="D238" s="1"/>
      <c r="E238" s="1"/>
      <c r="F238" s="1"/>
      <c r="G238" s="18" t="s">
        <v>183</v>
      </c>
      <c r="H238" s="17" t="s">
        <v>147</v>
      </c>
      <c r="I238" s="1" t="str">
        <f>AE38</f>
        <v>4B725E57</v>
      </c>
      <c r="J238" s="1"/>
      <c r="K238" s="1"/>
      <c r="L238" s="1"/>
      <c r="M238" s="12" t="s">
        <v>183</v>
      </c>
      <c r="N238" s="17" t="s">
        <v>275</v>
      </c>
      <c r="O238" s="1"/>
      <c r="P238" s="1" t="str" cm="1">
        <f t="array" ref="P238">SSIG0_H(W38)</f>
        <v>89BD55B8</v>
      </c>
      <c r="Q238" s="1"/>
      <c r="R238" s="1"/>
      <c r="S238" s="1"/>
      <c r="T238" s="1"/>
      <c r="U238" s="26" t="s">
        <v>183</v>
      </c>
      <c r="V238" s="7" t="s">
        <v>402</v>
      </c>
      <c r="W238" t="str">
        <f>V38</f>
        <v>A0195A3A</v>
      </c>
    </row>
    <row r="239" spans="1:23" x14ac:dyDescent="0.25">
      <c r="A239" s="17" t="s">
        <v>228</v>
      </c>
      <c r="B239" s="1"/>
      <c r="C239" s="1" t="str" cm="1">
        <f t="array" ref="C239">HexToBits(C238)</f>
        <v>00111011111010011100101001010001</v>
      </c>
      <c r="D239" s="1"/>
      <c r="E239" s="1"/>
      <c r="F239" s="1"/>
      <c r="G239" s="1"/>
      <c r="H239" s="1"/>
      <c r="I239" s="1" t="str" cm="1">
        <f t="array" ref="I239">HexToBits(I238)</f>
        <v>01001011011100100101111001010111</v>
      </c>
      <c r="J239" s="1"/>
      <c r="K239" s="1"/>
      <c r="L239" s="1"/>
      <c r="M239" s="1"/>
      <c r="N239" s="1"/>
      <c r="O239" s="1"/>
      <c r="P239" s="1" t="str" cm="1">
        <f t="array" ref="P239">HexToBits(P238)</f>
        <v>10001001101111010101010110111000</v>
      </c>
      <c r="Q239" s="1"/>
      <c r="R239" s="1"/>
      <c r="S239" s="1"/>
      <c r="T239" s="1"/>
      <c r="W239" t="str" cm="1">
        <f t="array" ref="W239">HexToBits(W238)</f>
        <v>10100000000110010101101000111010</v>
      </c>
    </row>
    <row r="240" spans="1:23" x14ac:dyDescent="0.25">
      <c r="A240" s="17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3" x14ac:dyDescent="0.25">
      <c r="A241" s="17" t="s">
        <v>280</v>
      </c>
      <c r="B241" s="1" t="str">
        <f>_xlfn.BASE(MOD(_xlfn.DECIMAL(C239,2) + _xlfn.DECIMAL(I239,2) + _xlfn.DECIMAL(P239,2) + _xlfn.DECIMAL(W239,2), 4294967296), 2, 32)</f>
        <v>10110001001100101101100010011010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3" x14ac:dyDescent="0.25">
      <c r="A242" s="17" t="s">
        <v>213</v>
      </c>
      <c r="B242" s="1" t="str" cm="1">
        <f t="array" ref="B242">BitsToHex(B241)</f>
        <v>B132D89A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3" s="2" customFormat="1" x14ac:dyDescent="0.25">
      <c r="A243" s="19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</row>
    <row r="244" spans="1:23" x14ac:dyDescent="0.25">
      <c r="A244" s="17" t="s">
        <v>155</v>
      </c>
      <c r="B244" s="1" t="s">
        <v>153</v>
      </c>
      <c r="C244" s="1"/>
      <c r="D244" s="1"/>
      <c r="E244" s="1"/>
      <c r="F244" s="1"/>
      <c r="G244" s="1"/>
      <c r="H244" s="1" t="s">
        <v>148</v>
      </c>
      <c r="I244" s="1"/>
      <c r="J244" s="1"/>
      <c r="K244" s="1"/>
      <c r="L244" s="1"/>
      <c r="M244" s="1" t="s">
        <v>140</v>
      </c>
      <c r="N244" s="1"/>
      <c r="O244" s="1"/>
      <c r="P244" s="1"/>
      <c r="Q244" s="1"/>
      <c r="R244" s="1"/>
      <c r="S244" s="1"/>
      <c r="T244" s="1"/>
    </row>
    <row r="245" spans="1:23" x14ac:dyDescent="0.25">
      <c r="A245" s="17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3" x14ac:dyDescent="0.25">
      <c r="A246" s="17" t="s">
        <v>276</v>
      </c>
      <c r="B246" s="1"/>
      <c r="C246" s="1" t="str" cm="1">
        <f t="array" ref="C246">SSIG1_H(AK38)</f>
        <v>015089CB</v>
      </c>
      <c r="D246" s="1"/>
      <c r="E246" s="1"/>
      <c r="F246" s="1"/>
      <c r="G246" s="18" t="s">
        <v>183</v>
      </c>
      <c r="H246" s="17" t="s">
        <v>148</v>
      </c>
      <c r="I246" s="1" t="str">
        <f>AF38</f>
        <v>1FADF2DD</v>
      </c>
      <c r="J246" s="1"/>
      <c r="K246" s="1"/>
      <c r="L246" s="1"/>
      <c r="M246" s="12" t="s">
        <v>183</v>
      </c>
      <c r="N246" s="17" t="s">
        <v>277</v>
      </c>
      <c r="O246" s="1"/>
      <c r="P246" s="1" t="str" cm="1">
        <f t="array" ref="P246">SSIG0_H(X38)</f>
        <v>2354C5D3</v>
      </c>
      <c r="Q246" s="1"/>
      <c r="R246" s="1"/>
      <c r="S246" s="1"/>
      <c r="T246" s="1"/>
      <c r="U246" s="26" t="s">
        <v>183</v>
      </c>
      <c r="V246" s="7" t="s">
        <v>403</v>
      </c>
      <c r="W246" t="str">
        <f>W38</f>
        <v>35D7BDB0</v>
      </c>
    </row>
    <row r="247" spans="1:23" x14ac:dyDescent="0.25">
      <c r="A247" s="17" t="s">
        <v>228</v>
      </c>
      <c r="B247" s="1"/>
      <c r="C247" s="1" t="str" cm="1">
        <f t="array" ref="C247">HexToBits(C246)</f>
        <v>00000001010100001000100111001011</v>
      </c>
      <c r="D247" s="1"/>
      <c r="E247" s="1"/>
      <c r="F247" s="1"/>
      <c r="G247" s="1"/>
      <c r="H247" s="1"/>
      <c r="I247" s="1" t="str" cm="1">
        <f t="array" ref="I247">HexToBits(I246)</f>
        <v>00011111101011011111001011011101</v>
      </c>
      <c r="J247" s="1"/>
      <c r="K247" s="1"/>
      <c r="L247" s="1"/>
      <c r="M247" s="1"/>
      <c r="N247" s="1"/>
      <c r="O247" s="1"/>
      <c r="P247" s="1" t="str" cm="1">
        <f t="array" ref="P247">HexToBits(P246)</f>
        <v>00100011010101001100010111010011</v>
      </c>
      <c r="Q247" s="1"/>
      <c r="R247" s="1"/>
      <c r="S247" s="1"/>
      <c r="T247" s="1"/>
      <c r="W247" t="str" cm="1">
        <f t="array" ref="W247">HexToBits(W246)</f>
        <v>00110101110101111011110110110000</v>
      </c>
    </row>
    <row r="248" spans="1:23" x14ac:dyDescent="0.25">
      <c r="A248" s="17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3" x14ac:dyDescent="0.25">
      <c r="A249" s="17" t="s">
        <v>287</v>
      </c>
      <c r="B249" s="1" t="str">
        <f>_xlfn.BASE(MOD(_xlfn.DECIMAL(C247,2) + _xlfn.DECIMAL(I247,2) + _xlfn.DECIMAL(P247,2) + _xlfn.DECIMAL(W247,2), 4294967296), 2, 32)</f>
        <v>01111010001010110000000000101011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3" x14ac:dyDescent="0.25">
      <c r="A250" s="17" t="s">
        <v>213</v>
      </c>
      <c r="B250" s="1" t="str" cm="1">
        <f t="array" ref="B250">BitsToHex(B249)</f>
        <v>7A2B002B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3" s="2" customFormat="1" x14ac:dyDescent="0.25">
      <c r="A251" s="19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</row>
    <row r="252" spans="1:23" x14ac:dyDescent="0.25">
      <c r="A252" s="17" t="s">
        <v>156</v>
      </c>
      <c r="B252" s="1" t="s">
        <v>154</v>
      </c>
      <c r="C252" s="1"/>
      <c r="D252" s="1"/>
      <c r="E252" s="1"/>
      <c r="F252" s="1"/>
      <c r="G252" s="1"/>
      <c r="H252" s="1" t="s">
        <v>149</v>
      </c>
      <c r="I252" s="1"/>
      <c r="J252" s="1"/>
      <c r="K252" s="1"/>
      <c r="L252" s="1"/>
      <c r="M252" s="1" t="s">
        <v>141</v>
      </c>
      <c r="N252" s="1"/>
      <c r="O252" s="1"/>
      <c r="P252" s="1"/>
      <c r="Q252" s="1"/>
      <c r="R252" s="1"/>
      <c r="S252" s="1"/>
      <c r="T252" s="1"/>
    </row>
    <row r="253" spans="1:23" x14ac:dyDescent="0.25">
      <c r="A253" s="17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3" x14ac:dyDescent="0.25">
      <c r="A254" s="17" t="s">
        <v>281</v>
      </c>
      <c r="B254" s="1"/>
      <c r="C254" s="1" t="str" cm="1">
        <f t="array" ref="C254">SSIG1_H(AL38)</f>
        <v>37724209</v>
      </c>
      <c r="D254" s="1"/>
      <c r="E254" s="1"/>
      <c r="F254" s="1"/>
      <c r="G254" s="18" t="s">
        <v>183</v>
      </c>
      <c r="H254" s="17" t="s">
        <v>149</v>
      </c>
      <c r="I254" s="1" t="str">
        <f>AG38</f>
        <v>02248C91</v>
      </c>
      <c r="J254" s="1"/>
      <c r="K254" s="1"/>
      <c r="L254" s="1"/>
      <c r="M254" s="12" t="s">
        <v>183</v>
      </c>
      <c r="N254" s="17" t="s">
        <v>282</v>
      </c>
      <c r="O254" s="1"/>
      <c r="P254" s="1" t="str" cm="1">
        <f t="array" ref="P254">SSIG0_H(Y38)</f>
        <v>130721B7</v>
      </c>
      <c r="Q254" s="1"/>
      <c r="R254" s="1"/>
      <c r="S254" s="1"/>
      <c r="T254" s="1"/>
      <c r="U254" s="26" t="s">
        <v>183</v>
      </c>
      <c r="V254" s="7" t="s">
        <v>404</v>
      </c>
      <c r="W254" t="str">
        <f>X38</f>
        <v>86720259</v>
      </c>
    </row>
    <row r="255" spans="1:23" x14ac:dyDescent="0.25">
      <c r="A255" s="17" t="s">
        <v>228</v>
      </c>
      <c r="B255" s="1"/>
      <c r="C255" s="1" t="str" cm="1">
        <f t="array" ref="C255">HexToBits(C254)</f>
        <v>00110111011100100100001000001001</v>
      </c>
      <c r="D255" s="1"/>
      <c r="E255" s="1"/>
      <c r="F255" s="1"/>
      <c r="G255" s="1"/>
      <c r="H255" s="1"/>
      <c r="I255" s="1" t="str" cm="1">
        <f t="array" ref="I255">HexToBits(I254)</f>
        <v>00000010001001001000110010010001</v>
      </c>
      <c r="J255" s="1"/>
      <c r="K255" s="1"/>
      <c r="L255" s="1"/>
      <c r="M255" s="1"/>
      <c r="N255" s="1"/>
      <c r="O255" s="1"/>
      <c r="P255" s="1" t="str" cm="1">
        <f t="array" ref="P255">HexToBits(P254)</f>
        <v>00010011000001110010000110110111</v>
      </c>
      <c r="Q255" s="1"/>
      <c r="R255" s="1"/>
      <c r="S255" s="1"/>
      <c r="T255" s="1"/>
      <c r="W255" t="str" cm="1">
        <f t="array" ref="W255">HexToBits(W254)</f>
        <v>10000110011100100000001001011001</v>
      </c>
    </row>
    <row r="256" spans="1:23" x14ac:dyDescent="0.25">
      <c r="A256" s="17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3" x14ac:dyDescent="0.25">
      <c r="A257" s="17" t="s">
        <v>286</v>
      </c>
      <c r="B257" s="1" t="str">
        <f>_xlfn.BASE(MOD(_xlfn.DECIMAL(C255,2) + _xlfn.DECIMAL(I255,2) + _xlfn.DECIMAL(P255,2) + _xlfn.DECIMAL(W255,2), 4294967296), 2, 32)</f>
        <v>11010011000011111111001010101010</v>
      </c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3" x14ac:dyDescent="0.25">
      <c r="A258" s="17" t="s">
        <v>213</v>
      </c>
      <c r="B258" s="1" t="str" cm="1">
        <f t="array" ref="B258">BitsToHex(B257)</f>
        <v>D30FF2AA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3" s="2" customFormat="1" x14ac:dyDescent="0.25">
      <c r="A259" s="19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</row>
    <row r="260" spans="1:23" x14ac:dyDescent="0.25">
      <c r="A260" s="17" t="s">
        <v>157</v>
      </c>
      <c r="B260" s="1" t="s">
        <v>155</v>
      </c>
      <c r="C260" s="1"/>
      <c r="D260" s="1"/>
      <c r="E260" s="1"/>
      <c r="F260" s="1"/>
      <c r="G260" s="1"/>
      <c r="H260" s="1" t="s">
        <v>150</v>
      </c>
      <c r="I260" s="1"/>
      <c r="J260" s="1"/>
      <c r="K260" s="1"/>
      <c r="L260" s="1"/>
      <c r="M260" s="1" t="s">
        <v>142</v>
      </c>
      <c r="N260" s="1"/>
      <c r="O260" s="1"/>
      <c r="P260" s="1"/>
      <c r="Q260" s="1"/>
      <c r="R260" s="1"/>
      <c r="S260" s="1"/>
      <c r="T260" s="1"/>
    </row>
    <row r="261" spans="1:23" x14ac:dyDescent="0.25">
      <c r="A261" s="17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3" x14ac:dyDescent="0.25">
      <c r="A262" s="17" t="s">
        <v>283</v>
      </c>
      <c r="B262" s="1"/>
      <c r="C262" s="1" t="str" cm="1">
        <f t="array" ref="C262">SSIG1_H(AM38)</f>
        <v>E00E5890</v>
      </c>
      <c r="D262" s="1"/>
      <c r="E262" s="1"/>
      <c r="F262" s="1"/>
      <c r="G262" s="18" t="s">
        <v>183</v>
      </c>
      <c r="H262" s="17" t="s">
        <v>150</v>
      </c>
      <c r="I262" s="1" t="str">
        <f>AH38</f>
        <v>0EE7E349</v>
      </c>
      <c r="J262" s="1"/>
      <c r="K262" s="1"/>
      <c r="L262" s="1"/>
      <c r="M262" s="12" t="s">
        <v>183</v>
      </c>
      <c r="N262" s="17" t="s">
        <v>284</v>
      </c>
      <c r="O262" s="1"/>
      <c r="P262" s="1" t="str" cm="1">
        <f t="array" ref="P262">SSIG0_H(Z38)</f>
        <v>2E2D8138</v>
      </c>
      <c r="Q262" s="1"/>
      <c r="R262" s="1"/>
      <c r="S262" s="1"/>
      <c r="T262" s="1"/>
      <c r="U262" s="26" t="s">
        <v>183</v>
      </c>
      <c r="V262" s="7" t="s">
        <v>405</v>
      </c>
      <c r="W262" t="str">
        <f>Y38</f>
        <v>296369E6</v>
      </c>
    </row>
    <row r="263" spans="1:23" x14ac:dyDescent="0.25">
      <c r="A263" s="17" t="s">
        <v>228</v>
      </c>
      <c r="B263" s="1"/>
      <c r="C263" s="1" t="str" cm="1">
        <f t="array" ref="C263">HexToBits(C262)</f>
        <v>11100000000011100101100010010000</v>
      </c>
      <c r="D263" s="1"/>
      <c r="E263" s="1"/>
      <c r="F263" s="1"/>
      <c r="G263" s="1"/>
      <c r="H263" s="1"/>
      <c r="I263" s="1" t="str" cm="1">
        <f t="array" ref="I263">HexToBits(I262)</f>
        <v>00001110111001111110001101001001</v>
      </c>
      <c r="J263" s="1"/>
      <c r="K263" s="1"/>
      <c r="L263" s="1"/>
      <c r="M263" s="1"/>
      <c r="N263" s="1"/>
      <c r="O263" s="1"/>
      <c r="P263" s="1" t="str" cm="1">
        <f t="array" ref="P263">HexToBits(P262)</f>
        <v>00101110001011011000000100111000</v>
      </c>
      <c r="Q263" s="1"/>
      <c r="R263" s="1"/>
      <c r="S263" s="1"/>
      <c r="T263" s="1"/>
      <c r="W263" t="str" cm="1">
        <f t="array" ref="W263">HexToBits(W262)</f>
        <v>00101001011000110110100111100110</v>
      </c>
    </row>
    <row r="264" spans="1:23" x14ac:dyDescent="0.25">
      <c r="A264" s="17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3" x14ac:dyDescent="0.25">
      <c r="A265" s="17" t="s">
        <v>291</v>
      </c>
      <c r="B265" s="1" t="str">
        <f>_xlfn.BASE(MOD(_xlfn.DECIMAL(C263,2) + _xlfn.DECIMAL(I263,2) + _xlfn.DECIMAL(P263,2) + _xlfn.DECIMAL(W263,2), 4294967296), 2, 32)</f>
        <v>01000110100001110010011011110111</v>
      </c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3" x14ac:dyDescent="0.25">
      <c r="A266" s="17" t="s">
        <v>213</v>
      </c>
      <c r="B266" s="1" t="str" cm="1">
        <f t="array" ref="B266">BitsToHex(B265)</f>
        <v>468726F7</v>
      </c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3" s="2" customFormat="1" x14ac:dyDescent="0.25">
      <c r="A267" s="19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</row>
    <row r="268" spans="1:23" x14ac:dyDescent="0.25">
      <c r="A268" s="17" t="s">
        <v>158</v>
      </c>
      <c r="B268" s="1" t="s">
        <v>156</v>
      </c>
      <c r="C268" s="1"/>
      <c r="D268" s="1"/>
      <c r="E268" s="1"/>
      <c r="F268" s="1"/>
      <c r="G268" s="1"/>
      <c r="H268" s="1" t="s">
        <v>151</v>
      </c>
      <c r="I268" s="1"/>
      <c r="J268" s="1"/>
      <c r="K268" s="1"/>
      <c r="L268" s="1"/>
      <c r="M268" s="1" t="s">
        <v>143</v>
      </c>
      <c r="N268" s="1"/>
      <c r="O268" s="1"/>
      <c r="P268" s="1"/>
      <c r="Q268" s="1"/>
      <c r="R268" s="1"/>
      <c r="S268" s="1"/>
      <c r="T268" s="1"/>
    </row>
    <row r="269" spans="1:23" x14ac:dyDescent="0.25">
      <c r="A269" s="17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3" x14ac:dyDescent="0.25">
      <c r="A270" s="17" t="s">
        <v>285</v>
      </c>
      <c r="B270" s="1"/>
      <c r="C270" s="1" t="str" cm="1">
        <f t="array" ref="C270">SSIG1_H(AN38)</f>
        <v>0734F01A</v>
      </c>
      <c r="D270" s="1"/>
      <c r="E270" s="1"/>
      <c r="F270" s="1"/>
      <c r="G270" s="18" t="s">
        <v>183</v>
      </c>
      <c r="H270" s="17" t="s">
        <v>151</v>
      </c>
      <c r="I270" s="1" t="str">
        <f>AI38</f>
        <v>29E393E5</v>
      </c>
      <c r="J270" s="1"/>
      <c r="K270" s="1"/>
      <c r="L270" s="1"/>
      <c r="M270" s="12" t="s">
        <v>183</v>
      </c>
      <c r="N270" s="17" t="s">
        <v>288</v>
      </c>
      <c r="O270" s="1"/>
      <c r="P270" s="1" t="str" cm="1">
        <f t="array" ref="P270">SSIG0_H(AA38)</f>
        <v>2BC5B3EF</v>
      </c>
      <c r="Q270" s="1"/>
      <c r="R270" s="1"/>
      <c r="S270" s="1"/>
      <c r="T270" s="1"/>
      <c r="U270" s="26" t="s">
        <v>183</v>
      </c>
      <c r="V270" s="7" t="s">
        <v>406</v>
      </c>
      <c r="W270" t="str">
        <f>Z38</f>
        <v>4D26FC4C</v>
      </c>
    </row>
    <row r="271" spans="1:23" x14ac:dyDescent="0.25">
      <c r="A271" s="17" t="s">
        <v>228</v>
      </c>
      <c r="B271" s="1"/>
      <c r="C271" s="1" t="str" cm="1">
        <f t="array" ref="C271">HexToBits(C270)</f>
        <v>00000111001101001111000000011010</v>
      </c>
      <c r="D271" s="1"/>
      <c r="E271" s="1"/>
      <c r="F271" s="1"/>
      <c r="G271" s="1"/>
      <c r="H271" s="1"/>
      <c r="I271" s="1" t="str" cm="1">
        <f t="array" ref="I271">HexToBits(I270)</f>
        <v>00101001111000111001001111100101</v>
      </c>
      <c r="J271" s="1"/>
      <c r="K271" s="1"/>
      <c r="L271" s="1"/>
      <c r="M271" s="1"/>
      <c r="N271" s="1"/>
      <c r="O271" s="1"/>
      <c r="P271" s="1" t="str" cm="1">
        <f t="array" ref="P271">HexToBits(P270)</f>
        <v>00101011110001011011001111101111</v>
      </c>
      <c r="Q271" s="1"/>
      <c r="R271" s="1"/>
      <c r="S271" s="1"/>
      <c r="T271" s="1"/>
      <c r="W271" t="str" cm="1">
        <f t="array" ref="W271">HexToBits(W270)</f>
        <v>01001101001001101111110001001100</v>
      </c>
    </row>
    <row r="272" spans="1:23" x14ac:dyDescent="0.25">
      <c r="A272" s="17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3" x14ac:dyDescent="0.25">
      <c r="A273" s="17" t="s">
        <v>292</v>
      </c>
      <c r="B273" s="1" t="str">
        <f>_xlfn.BASE(MOD(_xlfn.DECIMAL(C271,2) + _xlfn.DECIMAL(I271,2) + _xlfn.DECIMAL(P271,2) + _xlfn.DECIMAL(W271,2), 4294967296), 2, 32)</f>
        <v>10101010000001010011010000111010</v>
      </c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3" x14ac:dyDescent="0.25">
      <c r="A274" s="17" t="s">
        <v>213</v>
      </c>
      <c r="B274" s="1" t="str" cm="1">
        <f t="array" ref="B274">BitsToHex(B273)</f>
        <v>AA05343A</v>
      </c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3" s="2" customFormat="1" x14ac:dyDescent="0.25">
      <c r="A275" s="19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</row>
    <row r="276" spans="1:23" x14ac:dyDescent="0.25">
      <c r="A276" s="17" t="s">
        <v>159</v>
      </c>
      <c r="B276" s="1" t="s">
        <v>157</v>
      </c>
      <c r="C276" s="1"/>
      <c r="D276" s="1"/>
      <c r="E276" s="1"/>
      <c r="F276" s="1"/>
      <c r="G276" s="1"/>
      <c r="H276" s="1" t="s">
        <v>152</v>
      </c>
      <c r="I276" s="1"/>
      <c r="J276" s="1"/>
      <c r="K276" s="1"/>
      <c r="L276" s="1"/>
      <c r="M276" s="1" t="s">
        <v>144</v>
      </c>
      <c r="N276" s="1"/>
      <c r="O276" s="1"/>
      <c r="P276" s="1"/>
      <c r="Q276" s="1"/>
      <c r="R276" s="1"/>
      <c r="S276" s="1"/>
      <c r="T276" s="1"/>
    </row>
    <row r="277" spans="1:23" x14ac:dyDescent="0.25">
      <c r="A277" s="17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3" x14ac:dyDescent="0.25">
      <c r="A278" s="17" t="s">
        <v>289</v>
      </c>
      <c r="B278" s="1"/>
      <c r="C278" s="1" t="str" cm="1">
        <f t="array" ref="C278">SSIG1_H(AO38)</f>
        <v>77B4EA5A</v>
      </c>
      <c r="D278" s="1"/>
      <c r="E278" s="1"/>
      <c r="F278" s="1"/>
      <c r="G278" s="18" t="s">
        <v>183</v>
      </c>
      <c r="H278" s="17" t="s">
        <v>152</v>
      </c>
      <c r="I278" s="1" t="str">
        <f>AJ38</f>
        <v>8C779344</v>
      </c>
      <c r="J278" s="1"/>
      <c r="K278" s="1"/>
      <c r="L278" s="1"/>
      <c r="M278" s="12" t="s">
        <v>183</v>
      </c>
      <c r="N278" s="17" t="s">
        <v>290</v>
      </c>
      <c r="O278" s="1"/>
      <c r="P278" s="1" t="str" cm="1">
        <f t="array" ref="P278">SSIG0_H(AB38)</f>
        <v>800B598B</v>
      </c>
      <c r="Q278" s="1"/>
      <c r="R278" s="1"/>
      <c r="S278" s="1"/>
      <c r="T278" s="1"/>
      <c r="U278" s="26" t="s">
        <v>183</v>
      </c>
      <c r="V278" s="7" t="s">
        <v>407</v>
      </c>
      <c r="W278" t="str">
        <f>AA38</f>
        <v>3F568947</v>
      </c>
    </row>
    <row r="279" spans="1:23" x14ac:dyDescent="0.25">
      <c r="A279" s="17" t="s">
        <v>228</v>
      </c>
      <c r="B279" s="1"/>
      <c r="C279" s="1" t="str" cm="1">
        <f t="array" ref="C279">HexToBits(C278)</f>
        <v>01110111101101001110101001011010</v>
      </c>
      <c r="D279" s="1"/>
      <c r="E279" s="1"/>
      <c r="F279" s="1"/>
      <c r="G279" s="1"/>
      <c r="H279" s="1"/>
      <c r="I279" s="1" t="str" cm="1">
        <f t="array" ref="I279">HexToBits(I278)</f>
        <v>10001100011101111001001101000100</v>
      </c>
      <c r="J279" s="1"/>
      <c r="K279" s="1"/>
      <c r="L279" s="1"/>
      <c r="M279" s="1"/>
      <c r="N279" s="1"/>
      <c r="O279" s="1"/>
      <c r="P279" s="1" t="str" cm="1">
        <f t="array" ref="P279">HexToBits(P278)</f>
        <v>10000000000010110101100110001011</v>
      </c>
      <c r="Q279" s="1"/>
      <c r="R279" s="1"/>
      <c r="S279" s="1"/>
      <c r="T279" s="1"/>
      <c r="W279" t="str" cm="1">
        <f t="array" ref="W279">HexToBits(W278)</f>
        <v>00111111010101101000100101000111</v>
      </c>
    </row>
    <row r="280" spans="1:23" x14ac:dyDescent="0.25">
      <c r="A280" s="17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3" x14ac:dyDescent="0.25">
      <c r="A281" s="17" t="s">
        <v>293</v>
      </c>
      <c r="B281" s="1" t="str">
        <f>_xlfn.BASE(MOD(_xlfn.DECIMAL(C279,2) + _xlfn.DECIMAL(I279,2) + _xlfn.DECIMAL(P279,2) + _xlfn.DECIMAL(W279,2), 4294967296), 2, 32)</f>
        <v>11000011100011100110000001110000</v>
      </c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3" x14ac:dyDescent="0.25">
      <c r="A282" s="17" t="s">
        <v>213</v>
      </c>
      <c r="B282" s="1" t="str" cm="1">
        <f t="array" ref="B282">BitsToHex(B281)</f>
        <v>C38E6070</v>
      </c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3" s="2" customFormat="1" x14ac:dyDescent="0.25">
      <c r="A283" s="19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</row>
    <row r="284" spans="1:23" x14ac:dyDescent="0.25">
      <c r="A284" s="17" t="s">
        <v>160</v>
      </c>
      <c r="B284" s="1" t="s">
        <v>158</v>
      </c>
      <c r="C284" s="1"/>
      <c r="D284" s="1"/>
      <c r="E284" s="1"/>
      <c r="F284" s="1"/>
      <c r="G284" s="1"/>
      <c r="H284" s="1" t="s">
        <v>153</v>
      </c>
      <c r="I284" s="1"/>
      <c r="J284" s="1"/>
      <c r="K284" s="1"/>
      <c r="L284" s="1"/>
      <c r="M284" s="1" t="s">
        <v>145</v>
      </c>
      <c r="N284" s="1"/>
      <c r="O284" s="1"/>
      <c r="P284" s="1"/>
      <c r="Q284" s="1"/>
      <c r="R284" s="1"/>
      <c r="S284" s="1"/>
      <c r="T284" s="1"/>
    </row>
    <row r="285" spans="1:23" x14ac:dyDescent="0.25">
      <c r="A285" s="17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3" x14ac:dyDescent="0.25">
      <c r="A286" s="17" t="s">
        <v>295</v>
      </c>
      <c r="B286" s="1"/>
      <c r="C286" s="1" t="str" cm="1">
        <f t="array" ref="C286">SSIG1_H(AP38)</f>
        <v>3CB0810F</v>
      </c>
      <c r="D286" s="1"/>
      <c r="E286" s="1"/>
      <c r="F286" s="1"/>
      <c r="G286" s="18" t="s">
        <v>183</v>
      </c>
      <c r="H286" s="17" t="s">
        <v>153</v>
      </c>
      <c r="I286" s="1" t="str">
        <f>AK38</f>
        <v>9ADFFD8F</v>
      </c>
      <c r="J286" s="1"/>
      <c r="K286" s="1"/>
      <c r="L286" s="1"/>
      <c r="M286" s="12" t="s">
        <v>183</v>
      </c>
      <c r="N286" s="17" t="s">
        <v>296</v>
      </c>
      <c r="O286" s="1"/>
      <c r="P286" s="1" t="str" cm="1">
        <f t="array" ref="P286">SSIG0_H(AC38)</f>
        <v>BEDFB074</v>
      </c>
      <c r="Q286" s="1"/>
      <c r="R286" s="1"/>
      <c r="S286" s="1"/>
      <c r="T286" s="1"/>
      <c r="U286" s="26" t="s">
        <v>183</v>
      </c>
      <c r="V286" s="7" t="s">
        <v>408</v>
      </c>
      <c r="W286" t="str">
        <f>AB38</f>
        <v>F9AFC337</v>
      </c>
    </row>
    <row r="287" spans="1:23" x14ac:dyDescent="0.25">
      <c r="A287" s="17" t="s">
        <v>228</v>
      </c>
      <c r="B287" s="1"/>
      <c r="C287" s="1" t="str" cm="1">
        <f t="array" ref="C287">HexToBits(C286)</f>
        <v>00111100101100001000000100001111</v>
      </c>
      <c r="D287" s="1"/>
      <c r="E287" s="1"/>
      <c r="F287" s="1"/>
      <c r="G287" s="1"/>
      <c r="H287" s="1"/>
      <c r="I287" s="1" t="str" cm="1">
        <f t="array" ref="I287">HexToBits(I286)</f>
        <v>10011010110111111111110110001111</v>
      </c>
      <c r="J287" s="1"/>
      <c r="K287" s="1"/>
      <c r="L287" s="1"/>
      <c r="M287" s="1"/>
      <c r="N287" s="1"/>
      <c r="O287" s="1"/>
      <c r="P287" s="1" t="str" cm="1">
        <f t="array" ref="P287">HexToBits(P286)</f>
        <v>10111110110111111011000001110100</v>
      </c>
      <c r="Q287" s="1"/>
      <c r="R287" s="1"/>
      <c r="S287" s="1"/>
      <c r="T287" s="1"/>
      <c r="W287" t="str" cm="1">
        <f t="array" ref="W287">HexToBits(W286)</f>
        <v>11111001101011111100001100110111</v>
      </c>
    </row>
    <row r="288" spans="1:23" x14ac:dyDescent="0.25">
      <c r="A288" s="17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3" x14ac:dyDescent="0.25">
      <c r="A289" s="17" t="s">
        <v>294</v>
      </c>
      <c r="B289" s="1" t="str">
        <f>_xlfn.BASE(MOD(_xlfn.DECIMAL(C287,2) + _xlfn.DECIMAL(I287,2) + _xlfn.DECIMAL(P287,2) + _xlfn.DECIMAL(W287,2), 4294967296), 2, 32)</f>
        <v>10010000000111111111001001001001</v>
      </c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3" x14ac:dyDescent="0.25">
      <c r="A290" s="17" t="s">
        <v>213</v>
      </c>
      <c r="B290" s="1" t="str" cm="1">
        <f t="array" ref="B290">BitsToHex(B289)</f>
        <v>901FF249</v>
      </c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3" s="2" customFormat="1" x14ac:dyDescent="0.25">
      <c r="A291" s="19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</row>
    <row r="292" spans="1:23" x14ac:dyDescent="0.25">
      <c r="A292" s="17" t="s">
        <v>161</v>
      </c>
      <c r="B292" s="1" t="s">
        <v>159</v>
      </c>
      <c r="C292" s="1"/>
      <c r="D292" s="1"/>
      <c r="E292" s="1"/>
      <c r="F292" s="1"/>
      <c r="G292" s="1"/>
      <c r="H292" s="1" t="s">
        <v>154</v>
      </c>
      <c r="I292" s="1"/>
      <c r="J292" s="1"/>
      <c r="K292" s="1"/>
      <c r="L292" s="1"/>
      <c r="M292" s="1" t="s">
        <v>146</v>
      </c>
      <c r="N292" s="1"/>
      <c r="O292" s="1"/>
      <c r="P292" s="1"/>
      <c r="Q292" s="1"/>
      <c r="R292" s="1"/>
      <c r="S292" s="1"/>
      <c r="T292" s="1"/>
    </row>
    <row r="293" spans="1:23" x14ac:dyDescent="0.25">
      <c r="A293" s="17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3" x14ac:dyDescent="0.25">
      <c r="A294" s="17" t="s">
        <v>298</v>
      </c>
      <c r="B294" s="1"/>
      <c r="C294" s="1" t="str" cm="1">
        <f t="array" ref="C294">SSIG1_H(AQ38)</f>
        <v>FC069A2E</v>
      </c>
      <c r="D294" s="1"/>
      <c r="E294" s="1"/>
      <c r="F294" s="1"/>
      <c r="G294" s="18" t="s">
        <v>183</v>
      </c>
      <c r="H294" s="17" t="s">
        <v>154</v>
      </c>
      <c r="I294" s="1" t="str">
        <f>AL38</f>
        <v>B132D89A</v>
      </c>
      <c r="J294" s="1"/>
      <c r="K294" s="1"/>
      <c r="L294" s="1"/>
      <c r="M294" s="12" t="s">
        <v>183</v>
      </c>
      <c r="N294" s="17" t="s">
        <v>299</v>
      </c>
      <c r="O294" s="1"/>
      <c r="P294" s="1" t="str" cm="1">
        <f t="array" ref="P294">SSIG0_H(AD38)</f>
        <v>441CC115</v>
      </c>
      <c r="Q294" s="1"/>
      <c r="R294" s="1"/>
      <c r="S294" s="1"/>
      <c r="T294" s="1"/>
      <c r="U294" s="26" t="s">
        <v>183</v>
      </c>
      <c r="V294" s="7" t="s">
        <v>409</v>
      </c>
      <c r="W294" t="str">
        <f>AC38</f>
        <v>359E081D</v>
      </c>
    </row>
    <row r="295" spans="1:23" x14ac:dyDescent="0.25">
      <c r="A295" s="17" t="s">
        <v>228</v>
      </c>
      <c r="B295" s="1"/>
      <c r="C295" s="1" t="str" cm="1">
        <f t="array" ref="C295">HexToBits(C294)</f>
        <v>11111100000001101001101000101110</v>
      </c>
      <c r="D295" s="1"/>
      <c r="E295" s="1"/>
      <c r="F295" s="1"/>
      <c r="G295" s="1"/>
      <c r="H295" s="1"/>
      <c r="I295" s="1" t="str" cm="1">
        <f t="array" ref="I295">HexToBits(I294)</f>
        <v>10110001001100101101100010011010</v>
      </c>
      <c r="J295" s="1"/>
      <c r="K295" s="1"/>
      <c r="L295" s="1"/>
      <c r="M295" s="1"/>
      <c r="N295" s="1"/>
      <c r="O295" s="1"/>
      <c r="P295" s="1" t="str" cm="1">
        <f t="array" ref="P295">HexToBits(P294)</f>
        <v>01000100000111001100000100010101</v>
      </c>
      <c r="Q295" s="1"/>
      <c r="R295" s="1"/>
      <c r="S295" s="1"/>
      <c r="T295" s="1"/>
      <c r="W295" t="str" cm="1">
        <f t="array" ref="W295">HexToBits(W294)</f>
        <v>00110101100111100000100000011101</v>
      </c>
    </row>
    <row r="296" spans="1:23" x14ac:dyDescent="0.25">
      <c r="A296" s="17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3" x14ac:dyDescent="0.25">
      <c r="A297" s="17" t="s">
        <v>297</v>
      </c>
      <c r="B297" s="1" t="str">
        <f>_xlfn.BASE(MOD(_xlfn.DECIMAL(C295,2) + _xlfn.DECIMAL(I295,2) + _xlfn.DECIMAL(P295,2) + _xlfn.DECIMAL(W295,2), 4294967296), 2, 32)</f>
        <v>00100110111101000011101111111010</v>
      </c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3" x14ac:dyDescent="0.25">
      <c r="A298" s="17" t="s">
        <v>213</v>
      </c>
      <c r="B298" s="1" t="str" cm="1">
        <f t="array" ref="B298">BitsToHex(B297)</f>
        <v>26F43BFA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3" s="2" customFormat="1" x14ac:dyDescent="0.25">
      <c r="A299" s="19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</row>
    <row r="300" spans="1:23" x14ac:dyDescent="0.25">
      <c r="A300" s="17" t="s">
        <v>162</v>
      </c>
      <c r="B300" s="1" t="s">
        <v>160</v>
      </c>
      <c r="C300" s="1"/>
      <c r="D300" s="1"/>
      <c r="E300" s="1"/>
      <c r="F300" s="1"/>
      <c r="G300" s="1"/>
      <c r="H300" s="1" t="s">
        <v>155</v>
      </c>
      <c r="I300" s="1"/>
      <c r="J300" s="1"/>
      <c r="K300" s="1"/>
      <c r="L300" s="1"/>
      <c r="M300" s="1" t="s">
        <v>147</v>
      </c>
      <c r="N300" s="1"/>
      <c r="O300" s="1"/>
      <c r="P300" s="1"/>
      <c r="Q300" s="1"/>
      <c r="R300" s="1"/>
      <c r="S300" s="1"/>
      <c r="T300" s="1"/>
    </row>
    <row r="301" spans="1:23" x14ac:dyDescent="0.25">
      <c r="A301" s="17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3" x14ac:dyDescent="0.25">
      <c r="A302" s="17" t="s">
        <v>300</v>
      </c>
      <c r="B302" s="1"/>
      <c r="C302" s="1" t="str" cm="1">
        <f t="array" ref="C302">SSIG1_H(AR38)</f>
        <v>0749FDF0</v>
      </c>
      <c r="D302" s="1"/>
      <c r="E302" s="1"/>
      <c r="F302" s="1"/>
      <c r="G302" s="18" t="s">
        <v>183</v>
      </c>
      <c r="H302" s="17" t="s">
        <v>155</v>
      </c>
      <c r="I302" s="1" t="str">
        <f>AM38</f>
        <v>7A2B002B</v>
      </c>
      <c r="J302" s="1"/>
      <c r="K302" s="1"/>
      <c r="L302" s="1"/>
      <c r="M302" s="12" t="s">
        <v>183</v>
      </c>
      <c r="N302" s="17" t="s">
        <v>301</v>
      </c>
      <c r="O302" s="1"/>
      <c r="P302" s="1" t="str" cm="1">
        <f t="array" ref="P302">SSIG0_H(AE38)</f>
        <v>306D7DAA</v>
      </c>
      <c r="Q302" s="1"/>
      <c r="R302" s="1"/>
      <c r="S302" s="1"/>
      <c r="T302" s="1"/>
      <c r="U302" s="26" t="s">
        <v>183</v>
      </c>
      <c r="V302" s="7" t="s">
        <v>410</v>
      </c>
      <c r="W302" t="str">
        <f>AD38</f>
        <v>4F9B25C2</v>
      </c>
    </row>
    <row r="303" spans="1:23" x14ac:dyDescent="0.25">
      <c r="A303" s="17" t="s">
        <v>228</v>
      </c>
      <c r="B303" s="1"/>
      <c r="C303" s="1" t="str" cm="1">
        <f t="array" ref="C303">HexToBits(C302)</f>
        <v>00000111010010011111110111110000</v>
      </c>
      <c r="D303" s="1"/>
      <c r="E303" s="1"/>
      <c r="F303" s="1"/>
      <c r="G303" s="1"/>
      <c r="H303" s="1"/>
      <c r="I303" s="1" t="str" cm="1">
        <f t="array" ref="I303">HexToBits(I302)</f>
        <v>01111010001010110000000000101011</v>
      </c>
      <c r="J303" s="1"/>
      <c r="K303" s="1"/>
      <c r="L303" s="1"/>
      <c r="M303" s="1"/>
      <c r="N303" s="1"/>
      <c r="O303" s="1"/>
      <c r="P303" s="1" t="str" cm="1">
        <f t="array" ref="P303">HexToBits(P302)</f>
        <v>00110000011011010111110110101010</v>
      </c>
      <c r="Q303" s="1"/>
      <c r="R303" s="1"/>
      <c r="S303" s="1"/>
      <c r="T303" s="1"/>
      <c r="W303" t="str" cm="1">
        <f t="array" ref="W303">HexToBits(W302)</f>
        <v>01001111100110110010010111000010</v>
      </c>
    </row>
    <row r="304" spans="1:23" x14ac:dyDescent="0.25">
      <c r="A304" s="17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3" x14ac:dyDescent="0.25">
      <c r="A305" s="17" t="s">
        <v>302</v>
      </c>
      <c r="B305" s="1" t="str">
        <f>_xlfn.BASE(MOD(_xlfn.DECIMAL(C303,2) + _xlfn.DECIMAL(I303,2) + _xlfn.DECIMAL(P303,2) + _xlfn.DECIMAL(W303,2), 4294967296), 2, 32)</f>
        <v>00000001011111011010000110000111</v>
      </c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3" x14ac:dyDescent="0.25">
      <c r="A306" s="17" t="s">
        <v>213</v>
      </c>
      <c r="B306" s="1" t="str" cm="1">
        <f t="array" ref="B306">BitsToHex(B305)</f>
        <v>017DA187</v>
      </c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3" s="2" customFormat="1" x14ac:dyDescent="0.25">
      <c r="A307" s="19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</row>
    <row r="308" spans="1:23" x14ac:dyDescent="0.25">
      <c r="A308" s="17" t="s">
        <v>163</v>
      </c>
      <c r="B308" s="1" t="s">
        <v>161</v>
      </c>
      <c r="C308" s="1"/>
      <c r="D308" s="1"/>
      <c r="E308" s="1"/>
      <c r="F308" s="1"/>
      <c r="G308" s="1"/>
      <c r="H308" s="1" t="s">
        <v>156</v>
      </c>
      <c r="I308" s="1"/>
      <c r="J308" s="1"/>
      <c r="K308" s="1"/>
      <c r="L308" s="1"/>
      <c r="M308" s="1" t="s">
        <v>148</v>
      </c>
      <c r="N308" s="1"/>
      <c r="O308" s="1"/>
      <c r="P308" s="1"/>
      <c r="Q308" s="1"/>
      <c r="R308" s="1"/>
      <c r="S308" s="1"/>
      <c r="T308" s="1"/>
    </row>
    <row r="309" spans="1:23" x14ac:dyDescent="0.25">
      <c r="A309" s="17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3" x14ac:dyDescent="0.25">
      <c r="A310" s="17" t="s">
        <v>303</v>
      </c>
      <c r="B310" s="1"/>
      <c r="C310" s="1" t="str" cm="1">
        <f t="array" ref="C310">SSIG1_H(AS38)</f>
        <v>9A8BEAAA</v>
      </c>
      <c r="D310" s="1"/>
      <c r="E310" s="1"/>
      <c r="F310" s="1"/>
      <c r="G310" s="18" t="s">
        <v>183</v>
      </c>
      <c r="H310" s="17" t="s">
        <v>156</v>
      </c>
      <c r="I310" s="1" t="str">
        <f>AN38</f>
        <v>D30FF2AA</v>
      </c>
      <c r="J310" s="1"/>
      <c r="K310" s="1"/>
      <c r="L310" s="1"/>
      <c r="M310" s="12" t="s">
        <v>183</v>
      </c>
      <c r="N310" s="17" t="s">
        <v>304</v>
      </c>
      <c r="O310" s="1"/>
      <c r="P310" s="1" t="str" cm="1">
        <f t="array" ref="P310">SSIG0_H(AF38)</f>
        <v>C57DA255</v>
      </c>
      <c r="Q310" s="1"/>
      <c r="R310" s="1"/>
      <c r="S310" s="1"/>
      <c r="T310" s="1"/>
      <c r="U310" s="26" t="s">
        <v>183</v>
      </c>
      <c r="V310" s="7" t="s">
        <v>411</v>
      </c>
      <c r="W310" t="str">
        <f>AE38</f>
        <v>4B725E57</v>
      </c>
    </row>
    <row r="311" spans="1:23" x14ac:dyDescent="0.25">
      <c r="A311" s="17" t="s">
        <v>228</v>
      </c>
      <c r="B311" s="1"/>
      <c r="C311" s="1" t="str" cm="1">
        <f t="array" ref="C311">HexToBits(C310)</f>
        <v>10011010100010111110101010101010</v>
      </c>
      <c r="D311" s="1"/>
      <c r="E311" s="1"/>
      <c r="F311" s="1"/>
      <c r="G311" s="1"/>
      <c r="H311" s="1"/>
      <c r="I311" s="1" t="str" cm="1">
        <f t="array" ref="I311">HexToBits(I310)</f>
        <v>11010011000011111111001010101010</v>
      </c>
      <c r="J311" s="1"/>
      <c r="K311" s="1"/>
      <c r="L311" s="1"/>
      <c r="M311" s="1"/>
      <c r="N311" s="1"/>
      <c r="O311" s="1"/>
      <c r="P311" s="1" t="str" cm="1">
        <f t="array" ref="P311">HexToBits(P310)</f>
        <v>11000101011111011010001001010101</v>
      </c>
      <c r="Q311" s="1"/>
      <c r="R311" s="1"/>
      <c r="S311" s="1"/>
      <c r="T311" s="1"/>
      <c r="W311" t="str" cm="1">
        <f t="array" ref="W311">HexToBits(W310)</f>
        <v>01001011011100100101111001010111</v>
      </c>
    </row>
    <row r="312" spans="1:23" x14ac:dyDescent="0.25">
      <c r="A312" s="17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3" x14ac:dyDescent="0.25">
      <c r="A313" s="17" t="s">
        <v>305</v>
      </c>
      <c r="B313" s="1" t="str">
        <f>_xlfn.BASE(MOD(_xlfn.DECIMAL(C311,2) + _xlfn.DECIMAL(I311,2) + _xlfn.DECIMAL(P311,2) + _xlfn.DECIMAL(W311,2), 4294967296), 2, 32)</f>
        <v>01111110100010111101111000000000</v>
      </c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3" x14ac:dyDescent="0.25">
      <c r="A314" s="17" t="s">
        <v>213</v>
      </c>
      <c r="B314" s="1" t="str" cm="1">
        <f t="array" ref="B314">BitsToHex(B313)</f>
        <v>7E8BDE00</v>
      </c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3" s="2" customFormat="1" x14ac:dyDescent="0.25">
      <c r="A315" s="19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</row>
    <row r="316" spans="1:23" x14ac:dyDescent="0.25">
      <c r="A316" s="17" t="s">
        <v>164</v>
      </c>
      <c r="B316" s="1" t="s">
        <v>162</v>
      </c>
      <c r="C316" s="1"/>
      <c r="D316" s="1"/>
      <c r="E316" s="1"/>
      <c r="F316" s="1"/>
      <c r="G316" s="1"/>
      <c r="H316" s="1" t="s">
        <v>157</v>
      </c>
      <c r="I316" s="1"/>
      <c r="J316" s="1"/>
      <c r="K316" s="1"/>
      <c r="L316" s="1"/>
      <c r="M316" s="1" t="s">
        <v>149</v>
      </c>
      <c r="N316" s="1"/>
      <c r="O316" s="1"/>
      <c r="P316" s="1"/>
      <c r="Q316" s="1"/>
      <c r="R316" s="1"/>
      <c r="S316" s="1"/>
      <c r="T316" s="1"/>
    </row>
    <row r="317" spans="1:23" x14ac:dyDescent="0.25">
      <c r="A317" s="17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3" x14ac:dyDescent="0.25">
      <c r="A318" s="17" t="s">
        <v>306</v>
      </c>
      <c r="B318" s="1"/>
      <c r="C318" s="1" t="str" cm="1">
        <f t="array" ref="C318">SSIG1_H(AT38)</f>
        <v>64F33FF9</v>
      </c>
      <c r="D318" s="1"/>
      <c r="E318" s="1"/>
      <c r="F318" s="1"/>
      <c r="G318" s="18" t="s">
        <v>183</v>
      </c>
      <c r="H318" s="17" t="s">
        <v>157</v>
      </c>
      <c r="I318" s="1" t="str">
        <f>AO38</f>
        <v>468726F7</v>
      </c>
      <c r="J318" s="1"/>
      <c r="K318" s="1"/>
      <c r="L318" s="1"/>
      <c r="M318" s="12" t="s">
        <v>183</v>
      </c>
      <c r="N318" s="17" t="s">
        <v>311</v>
      </c>
      <c r="O318" s="1"/>
      <c r="P318" s="1" t="str" cm="1">
        <f t="array" ref="P318">SSIG0_H(AG38)</f>
        <v>01649802</v>
      </c>
      <c r="Q318" s="1"/>
      <c r="R318" s="1"/>
      <c r="S318" s="1"/>
      <c r="T318" s="1"/>
      <c r="U318" s="26" t="s">
        <v>183</v>
      </c>
      <c r="V318" s="7" t="s">
        <v>412</v>
      </c>
      <c r="W318" t="str">
        <f>AF38</f>
        <v>1FADF2DD</v>
      </c>
    </row>
    <row r="319" spans="1:23" x14ac:dyDescent="0.25">
      <c r="A319" s="17" t="s">
        <v>228</v>
      </c>
      <c r="B319" s="1"/>
      <c r="C319" s="1" t="str" cm="1">
        <f t="array" ref="C319">HexToBits(C318)</f>
        <v>01100100111100110011111111111001</v>
      </c>
      <c r="D319" s="1"/>
      <c r="E319" s="1"/>
      <c r="F319" s="1"/>
      <c r="G319" s="1"/>
      <c r="H319" s="1"/>
      <c r="I319" s="1" t="str" cm="1">
        <f t="array" ref="I319">HexToBits(I318)</f>
        <v>01000110100001110010011011110111</v>
      </c>
      <c r="J319" s="1"/>
      <c r="K319" s="1"/>
      <c r="L319" s="1"/>
      <c r="M319" s="1"/>
      <c r="N319" s="1"/>
      <c r="O319" s="1"/>
      <c r="P319" s="1" t="str" cm="1">
        <f t="array" ref="P319">HexToBits(P318)</f>
        <v>00000001011001001001100000000010</v>
      </c>
      <c r="Q319" s="1"/>
      <c r="R319" s="1"/>
      <c r="S319" s="1"/>
      <c r="T319" s="1"/>
      <c r="W319" t="str" cm="1">
        <f t="array" ref="W319">HexToBits(W318)</f>
        <v>00011111101011011111001011011101</v>
      </c>
    </row>
    <row r="320" spans="1:23" x14ac:dyDescent="0.25">
      <c r="A320" s="17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3" x14ac:dyDescent="0.25">
      <c r="A321" s="17" t="s">
        <v>307</v>
      </c>
      <c r="B321" s="1" t="str">
        <f>_xlfn.BASE(MOD(_xlfn.DECIMAL(C319,2) + _xlfn.DECIMAL(I319,2) + _xlfn.DECIMAL(P319,2) + _xlfn.DECIMAL(W319,2), 4294967296), 2, 32)</f>
        <v>11001100100011001111000111001111</v>
      </c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3" x14ac:dyDescent="0.25">
      <c r="A322" s="17" t="s">
        <v>213</v>
      </c>
      <c r="B322" s="1" t="str" cm="1">
        <f t="array" ref="B322">BitsToHex(B321)</f>
        <v>CC8CF1CF</v>
      </c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3" s="2" customFormat="1" x14ac:dyDescent="0.25">
      <c r="A323" s="19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</row>
    <row r="324" spans="1:23" x14ac:dyDescent="0.25">
      <c r="A324" s="17" t="s">
        <v>165</v>
      </c>
      <c r="B324" s="1" t="s">
        <v>163</v>
      </c>
      <c r="C324" s="1"/>
      <c r="D324" s="1"/>
      <c r="E324" s="1"/>
      <c r="F324" s="1"/>
      <c r="G324" s="1"/>
      <c r="H324" s="1" t="s">
        <v>158</v>
      </c>
      <c r="I324" s="1"/>
      <c r="J324" s="1"/>
      <c r="K324" s="1"/>
      <c r="L324" s="1"/>
      <c r="M324" s="1" t="s">
        <v>150</v>
      </c>
      <c r="N324" s="1"/>
      <c r="O324" s="1"/>
      <c r="P324" s="1"/>
      <c r="Q324" s="1"/>
      <c r="R324" s="1"/>
      <c r="S324" s="1"/>
      <c r="T324" s="1"/>
    </row>
    <row r="325" spans="1:23" x14ac:dyDescent="0.25">
      <c r="A325" s="17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3" x14ac:dyDescent="0.25">
      <c r="A326" s="17" t="s">
        <v>309</v>
      </c>
      <c r="B326" s="1"/>
      <c r="C326" s="1" t="str" cm="1">
        <f t="array" ref="C326">SSIG1_H(AU38)</f>
        <v>94DF9263</v>
      </c>
      <c r="D326" s="1"/>
      <c r="E326" s="1"/>
      <c r="F326" s="1"/>
      <c r="G326" s="18" t="s">
        <v>183</v>
      </c>
      <c r="H326" s="17" t="s">
        <v>158</v>
      </c>
      <c r="I326" s="1" t="str">
        <f>AP38</f>
        <v>AA05343A</v>
      </c>
      <c r="J326" s="1"/>
      <c r="K326" s="1"/>
      <c r="L326" s="1"/>
      <c r="M326" s="12" t="s">
        <v>183</v>
      </c>
      <c r="N326" s="17" t="s">
        <v>310</v>
      </c>
      <c r="O326" s="1"/>
      <c r="P326" s="1" t="str" cm="1">
        <f t="array" ref="P326">SSIG0_H(AH38)</f>
        <v>6B137016</v>
      </c>
      <c r="Q326" s="1"/>
      <c r="R326" s="1"/>
      <c r="S326" s="1"/>
      <c r="T326" s="1"/>
      <c r="U326" s="26" t="s">
        <v>183</v>
      </c>
      <c r="V326" s="7" t="s">
        <v>413</v>
      </c>
      <c r="W326" t="str">
        <f>AG38</f>
        <v>02248C91</v>
      </c>
    </row>
    <row r="327" spans="1:23" x14ac:dyDescent="0.25">
      <c r="A327" s="17" t="s">
        <v>228</v>
      </c>
      <c r="B327" s="1"/>
      <c r="C327" s="1" t="str" cm="1">
        <f t="array" ref="C327">HexToBits(C326)</f>
        <v>10010100110111111001001001100011</v>
      </c>
      <c r="D327" s="1"/>
      <c r="E327" s="1"/>
      <c r="F327" s="1"/>
      <c r="G327" s="1"/>
      <c r="H327" s="1"/>
      <c r="I327" s="1" t="str" cm="1">
        <f t="array" ref="I327">HexToBits(I326)</f>
        <v>10101010000001010011010000111010</v>
      </c>
      <c r="J327" s="1"/>
      <c r="K327" s="1"/>
      <c r="L327" s="1"/>
      <c r="M327" s="1"/>
      <c r="N327" s="1"/>
      <c r="O327" s="1"/>
      <c r="P327" s="1" t="str" cm="1">
        <f t="array" ref="P327">HexToBits(P326)</f>
        <v>01101011000100110111000000010110</v>
      </c>
      <c r="Q327" s="1"/>
      <c r="R327" s="1"/>
      <c r="S327" s="1"/>
      <c r="T327" s="1"/>
      <c r="W327" t="str" cm="1">
        <f t="array" ref="W327">HexToBits(W326)</f>
        <v>00000010001001001000110010010001</v>
      </c>
    </row>
    <row r="328" spans="1:23" x14ac:dyDescent="0.25">
      <c r="A328" s="17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3" x14ac:dyDescent="0.25">
      <c r="A329" s="17" t="s">
        <v>308</v>
      </c>
      <c r="B329" s="1" t="str">
        <f>_xlfn.BASE(MOD(_xlfn.DECIMAL(C327,2) + _xlfn.DECIMAL(I327,2) + _xlfn.DECIMAL(P327,2) + _xlfn.DECIMAL(W327,2), 4294967296), 2, 32)</f>
        <v>10101100000111001100001101000100</v>
      </c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3" x14ac:dyDescent="0.25">
      <c r="A330" s="17" t="s">
        <v>213</v>
      </c>
      <c r="B330" s="1" t="str" cm="1">
        <f t="array" ref="B330">BitsToHex(B329)</f>
        <v>AC1CC344</v>
      </c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3" s="2" customFormat="1" x14ac:dyDescent="0.25">
      <c r="A331" s="19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</row>
    <row r="332" spans="1:23" x14ac:dyDescent="0.25">
      <c r="A332" s="17" t="s">
        <v>166</v>
      </c>
      <c r="B332" s="1" t="s">
        <v>164</v>
      </c>
      <c r="C332" s="1"/>
      <c r="D332" s="1"/>
      <c r="E332" s="1"/>
      <c r="F332" s="1"/>
      <c r="G332" s="1"/>
      <c r="H332" s="1" t="s">
        <v>159</v>
      </c>
      <c r="I332" s="1"/>
      <c r="J332" s="1"/>
      <c r="K332" s="1"/>
      <c r="L332" s="1"/>
      <c r="M332" s="1" t="s">
        <v>151</v>
      </c>
      <c r="N332" s="1"/>
      <c r="O332" s="1"/>
      <c r="P332" s="1"/>
      <c r="Q332" s="1"/>
      <c r="R332" s="1"/>
      <c r="S332" s="1"/>
      <c r="T332" s="1"/>
    </row>
    <row r="333" spans="1:23" x14ac:dyDescent="0.25">
      <c r="A333" s="17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3" x14ac:dyDescent="0.25">
      <c r="A334" s="17" t="s">
        <v>312</v>
      </c>
      <c r="B334" s="1"/>
      <c r="C334" s="1" t="str" cm="1">
        <f t="array" ref="C334">SSIG1_H(AV38)</f>
        <v>E6ED3CEB</v>
      </c>
      <c r="D334" s="1"/>
      <c r="E334" s="1"/>
      <c r="F334" s="1"/>
      <c r="G334" s="18" t="s">
        <v>183</v>
      </c>
      <c r="H334" s="17" t="s">
        <v>159</v>
      </c>
      <c r="I334" s="1" t="str">
        <f>AQ38</f>
        <v>C38E6070</v>
      </c>
      <c r="J334" s="1"/>
      <c r="K334" s="1"/>
      <c r="L334" s="1"/>
      <c r="M334" s="12" t="s">
        <v>183</v>
      </c>
      <c r="N334" s="17" t="s">
        <v>313</v>
      </c>
      <c r="O334" s="1"/>
      <c r="P334" s="1" t="str" cm="1">
        <f t="array" ref="P334">SSIG0_H(AI38)</f>
        <v>2B96FF23</v>
      </c>
      <c r="Q334" s="1"/>
      <c r="R334" s="1"/>
      <c r="S334" s="1"/>
      <c r="T334" s="1"/>
      <c r="U334" s="26" t="s">
        <v>183</v>
      </c>
      <c r="V334" s="7" t="s">
        <v>414</v>
      </c>
      <c r="W334" t="str">
        <f>AH38</f>
        <v>0EE7E349</v>
      </c>
    </row>
    <row r="335" spans="1:23" x14ac:dyDescent="0.25">
      <c r="A335" s="17" t="s">
        <v>228</v>
      </c>
      <c r="B335" s="1"/>
      <c r="C335" s="1" t="str" cm="1">
        <f t="array" ref="C335">HexToBits(C334)</f>
        <v>11100110111011010011110011101011</v>
      </c>
      <c r="D335" s="1"/>
      <c r="E335" s="1"/>
      <c r="F335" s="1"/>
      <c r="G335" s="1"/>
      <c r="H335" s="1"/>
      <c r="I335" s="1" t="str" cm="1">
        <f t="array" ref="I335">HexToBits(I334)</f>
        <v>11000011100011100110000001110000</v>
      </c>
      <c r="J335" s="1"/>
      <c r="K335" s="1"/>
      <c r="L335" s="1"/>
      <c r="M335" s="1"/>
      <c r="N335" s="1"/>
      <c r="O335" s="1"/>
      <c r="P335" s="1" t="str" cm="1">
        <f t="array" ref="P335">HexToBits(P334)</f>
        <v>00101011100101101111111100100011</v>
      </c>
      <c r="Q335" s="1"/>
      <c r="R335" s="1"/>
      <c r="S335" s="1"/>
      <c r="T335" s="1"/>
      <c r="W335" t="str" cm="1">
        <f t="array" ref="W335">HexToBits(W334)</f>
        <v>00001110111001111110001101001001</v>
      </c>
    </row>
    <row r="336" spans="1:23" x14ac:dyDescent="0.25">
      <c r="A336" s="17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3" x14ac:dyDescent="0.25">
      <c r="A337" s="17" t="s">
        <v>317</v>
      </c>
      <c r="B337" s="1" t="str">
        <f>_xlfn.BASE(MOD(_xlfn.DECIMAL(C335,2) + _xlfn.DECIMAL(I335,2) + _xlfn.DECIMAL(P335,2) + _xlfn.DECIMAL(W335,2), 4294967296), 2, 32)</f>
        <v>11100100111110100111111111000111</v>
      </c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3" x14ac:dyDescent="0.25">
      <c r="A338" s="17" t="s">
        <v>213</v>
      </c>
      <c r="B338" s="1" t="str" cm="1">
        <f t="array" ref="B338">BitsToHex(B337)</f>
        <v>E4FA7FC7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3" s="2" customFormat="1" x14ac:dyDescent="0.25">
      <c r="A339" s="19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</row>
    <row r="340" spans="1:23" x14ac:dyDescent="0.25">
      <c r="A340" s="17" t="s">
        <v>167</v>
      </c>
      <c r="B340" s="1" t="s">
        <v>165</v>
      </c>
      <c r="C340" s="1"/>
      <c r="D340" s="1"/>
      <c r="E340" s="1"/>
      <c r="F340" s="1"/>
      <c r="G340" s="1"/>
      <c r="H340" s="1" t="s">
        <v>160</v>
      </c>
      <c r="I340" s="1"/>
      <c r="J340" s="1"/>
      <c r="K340" s="1"/>
      <c r="L340" s="1"/>
      <c r="M340" s="1" t="s">
        <v>152</v>
      </c>
      <c r="N340" s="1"/>
      <c r="O340" s="1"/>
      <c r="P340" s="1"/>
      <c r="Q340" s="1"/>
      <c r="R340" s="1"/>
      <c r="S340" s="1"/>
      <c r="T340" s="1"/>
    </row>
    <row r="341" spans="1:23" x14ac:dyDescent="0.25">
      <c r="A341" s="17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3" x14ac:dyDescent="0.25">
      <c r="A342" s="17" t="s">
        <v>314</v>
      </c>
      <c r="B342" s="1"/>
      <c r="C342" s="1" t="str" cm="1">
        <f t="array" ref="C342">SSIG1_H(AW38)</f>
        <v>F9E1C4BD</v>
      </c>
      <c r="D342" s="1"/>
      <c r="E342" s="1"/>
      <c r="F342" s="1"/>
      <c r="G342" s="18" t="s">
        <v>183</v>
      </c>
      <c r="H342" s="17" t="s">
        <v>160</v>
      </c>
      <c r="I342" s="1" t="str">
        <f>AR38</f>
        <v>901FF249</v>
      </c>
      <c r="J342" s="1"/>
      <c r="K342" s="1"/>
      <c r="L342" s="1"/>
      <c r="M342" s="12" t="s">
        <v>183</v>
      </c>
      <c r="N342" s="17" t="s">
        <v>315</v>
      </c>
      <c r="O342" s="1"/>
      <c r="P342" s="1" t="str" cm="1">
        <f t="array" ref="P342">SSIG0_H(AJ38)</f>
        <v>7C473E53</v>
      </c>
      <c r="Q342" s="1"/>
      <c r="R342" s="1"/>
      <c r="S342" s="1"/>
      <c r="T342" s="1"/>
      <c r="U342" s="26" t="s">
        <v>183</v>
      </c>
      <c r="V342" s="7" t="s">
        <v>415</v>
      </c>
      <c r="W342" t="str">
        <f>AI38</f>
        <v>29E393E5</v>
      </c>
    </row>
    <row r="343" spans="1:23" x14ac:dyDescent="0.25">
      <c r="A343" s="17" t="s">
        <v>228</v>
      </c>
      <c r="B343" s="1"/>
      <c r="C343" s="1" t="str" cm="1">
        <f t="array" ref="C343">HexToBits(C342)</f>
        <v>11111001111000011100010010111101</v>
      </c>
      <c r="D343" s="1"/>
      <c r="E343" s="1"/>
      <c r="F343" s="1"/>
      <c r="G343" s="1"/>
      <c r="H343" s="1"/>
      <c r="I343" s="1" t="str" cm="1">
        <f t="array" ref="I343">HexToBits(I342)</f>
        <v>10010000000111111111001001001001</v>
      </c>
      <c r="J343" s="1"/>
      <c r="K343" s="1"/>
      <c r="L343" s="1"/>
      <c r="M343" s="1"/>
      <c r="N343" s="1"/>
      <c r="O343" s="1"/>
      <c r="P343" s="1" t="str" cm="1">
        <f t="array" ref="P343">HexToBits(P342)</f>
        <v>01111100010001110011111001010011</v>
      </c>
      <c r="Q343" s="1"/>
      <c r="R343" s="1"/>
      <c r="S343" s="1"/>
      <c r="T343" s="1"/>
      <c r="W343" t="str" cm="1">
        <f t="array" ref="W343">HexToBits(W342)</f>
        <v>00101001111000111001001111100101</v>
      </c>
    </row>
    <row r="344" spans="1:23" x14ac:dyDescent="0.25">
      <c r="A344" s="17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3" x14ac:dyDescent="0.25">
      <c r="A345" s="17" t="s">
        <v>316</v>
      </c>
      <c r="B345" s="1" t="str">
        <f>_xlfn.BASE(MOD(_xlfn.DECIMAL(C343,2) + _xlfn.DECIMAL(I343,2) + _xlfn.DECIMAL(P343,2) + _xlfn.DECIMAL(W343,2), 4294967296), 2, 32)</f>
        <v>00110000001011001000100100111110</v>
      </c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3" x14ac:dyDescent="0.25">
      <c r="A346" s="17" t="s">
        <v>213</v>
      </c>
      <c r="B346" s="1" t="str" cm="1">
        <f t="array" ref="B346">BitsToHex(B345)</f>
        <v>302C893E</v>
      </c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3" s="2" customFormat="1" x14ac:dyDescent="0.25">
      <c r="A347" s="19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</row>
    <row r="348" spans="1:23" x14ac:dyDescent="0.25">
      <c r="A348" s="17" t="s">
        <v>168</v>
      </c>
      <c r="B348" s="1" t="s">
        <v>166</v>
      </c>
      <c r="C348" s="1"/>
      <c r="D348" s="1"/>
      <c r="E348" s="1"/>
      <c r="F348" s="1"/>
      <c r="G348" s="1"/>
      <c r="H348" s="1" t="s">
        <v>161</v>
      </c>
      <c r="I348" s="1"/>
      <c r="J348" s="1"/>
      <c r="K348" s="1"/>
      <c r="L348" s="1"/>
      <c r="M348" s="1" t="s">
        <v>153</v>
      </c>
      <c r="N348" s="1"/>
      <c r="O348" s="1"/>
      <c r="P348" s="1"/>
      <c r="Q348" s="1"/>
      <c r="R348" s="1"/>
      <c r="S348" s="1"/>
      <c r="T348" s="1"/>
    </row>
    <row r="349" spans="1:23" x14ac:dyDescent="0.25">
      <c r="A349" s="17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3" x14ac:dyDescent="0.25">
      <c r="A350" s="17" t="s">
        <v>318</v>
      </c>
      <c r="B350" s="1"/>
      <c r="C350" s="1" t="str" cm="1">
        <f t="array" ref="C350">SSIG1_H(AX38)</f>
        <v>7022307D</v>
      </c>
      <c r="D350" s="1"/>
      <c r="E350" s="1"/>
      <c r="F350" s="1"/>
      <c r="G350" s="18" t="s">
        <v>183</v>
      </c>
      <c r="H350" s="17" t="s">
        <v>161</v>
      </c>
      <c r="I350" s="1" t="str">
        <f>AS38</f>
        <v>26F43BFA</v>
      </c>
      <c r="J350" s="1"/>
      <c r="K350" s="1"/>
      <c r="L350" s="1"/>
      <c r="M350" s="12" t="s">
        <v>183</v>
      </c>
      <c r="N350" s="17" t="s">
        <v>319</v>
      </c>
      <c r="O350" s="1"/>
      <c r="P350" s="1" t="str" cm="1">
        <f t="array" ref="P350">SSIG0_H(AK38)</f>
        <v>F30DA6FD</v>
      </c>
      <c r="Q350" s="1"/>
      <c r="R350" s="1"/>
      <c r="S350" s="1"/>
      <c r="T350" s="1"/>
      <c r="U350" s="26" t="s">
        <v>183</v>
      </c>
      <c r="V350" s="7" t="s">
        <v>416</v>
      </c>
      <c r="W350" t="str">
        <f>AJ38</f>
        <v>8C779344</v>
      </c>
    </row>
    <row r="351" spans="1:23" x14ac:dyDescent="0.25">
      <c r="A351" s="17" t="s">
        <v>228</v>
      </c>
      <c r="B351" s="1"/>
      <c r="C351" s="1" t="str" cm="1">
        <f t="array" ref="C351">HexToBits(C350)</f>
        <v>01110000001000100011000001111101</v>
      </c>
      <c r="D351" s="1"/>
      <c r="E351" s="1"/>
      <c r="F351" s="1"/>
      <c r="G351" s="1"/>
      <c r="H351" s="1"/>
      <c r="I351" s="1" t="str" cm="1">
        <f t="array" ref="I351">HexToBits(I350)</f>
        <v>00100110111101000011101111111010</v>
      </c>
      <c r="J351" s="1"/>
      <c r="K351" s="1"/>
      <c r="L351" s="1"/>
      <c r="M351" s="1"/>
      <c r="N351" s="1"/>
      <c r="O351" s="1"/>
      <c r="P351" s="1" t="str" cm="1">
        <f t="array" ref="P351">HexToBits(P350)</f>
        <v>11110011000011011010011011111101</v>
      </c>
      <c r="Q351" s="1"/>
      <c r="R351" s="1"/>
      <c r="S351" s="1"/>
      <c r="T351" s="1"/>
      <c r="W351" t="str" cm="1">
        <f t="array" ref="W351">HexToBits(W350)</f>
        <v>10001100011101111001001101000100</v>
      </c>
    </row>
    <row r="352" spans="1:23" x14ac:dyDescent="0.25">
      <c r="A352" s="17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3" x14ac:dyDescent="0.25">
      <c r="A353" s="17" t="s">
        <v>320</v>
      </c>
      <c r="B353" s="1" t="str">
        <f>_xlfn.BASE(MOD(_xlfn.DECIMAL(C351,2) + _xlfn.DECIMAL(I351,2) + _xlfn.DECIMAL(P351,2) + _xlfn.DECIMAL(W351,2), 4294967296), 2, 32)</f>
        <v>00010110100110111010011010111000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3" x14ac:dyDescent="0.25">
      <c r="A354" s="17" t="s">
        <v>213</v>
      </c>
      <c r="B354" s="1" t="str" cm="1">
        <f t="array" ref="B354">BitsToHex(B353)</f>
        <v>169BA6B8</v>
      </c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3" s="2" customFormat="1" x14ac:dyDescent="0.25">
      <c r="A355" s="19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</row>
    <row r="356" spans="1:23" x14ac:dyDescent="0.25">
      <c r="A356" s="17" t="s">
        <v>169</v>
      </c>
      <c r="B356" s="1" t="s">
        <v>167</v>
      </c>
      <c r="C356" s="1"/>
      <c r="D356" s="1"/>
      <c r="E356" s="1"/>
      <c r="F356" s="1"/>
      <c r="G356" s="1"/>
      <c r="H356" s="1" t="s">
        <v>162</v>
      </c>
      <c r="I356" s="1"/>
      <c r="J356" s="1"/>
      <c r="K356" s="1"/>
      <c r="L356" s="1"/>
      <c r="M356" s="1" t="s">
        <v>154</v>
      </c>
      <c r="N356" s="1"/>
      <c r="O356" s="1"/>
      <c r="P356" s="1"/>
      <c r="Q356" s="1"/>
      <c r="R356" s="1"/>
      <c r="S356" s="1"/>
      <c r="T356" s="1"/>
    </row>
    <row r="357" spans="1:23" x14ac:dyDescent="0.25">
      <c r="A357" s="17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3" x14ac:dyDescent="0.25">
      <c r="A358" s="17" t="s">
        <v>321</v>
      </c>
      <c r="B358" s="1"/>
      <c r="C358" s="1" t="str" cm="1">
        <f t="array" ref="C358">SSIG1_H(AY38)</f>
        <v>D5B4D531</v>
      </c>
      <c r="D358" s="1"/>
      <c r="E358" s="1"/>
      <c r="F358" s="1"/>
      <c r="G358" s="18" t="s">
        <v>183</v>
      </c>
      <c r="H358" s="17" t="s">
        <v>162</v>
      </c>
      <c r="I358" s="1" t="str">
        <f>AT38</f>
        <v>017DA187</v>
      </c>
      <c r="J358" s="1"/>
      <c r="K358" s="1"/>
      <c r="L358" s="1"/>
      <c r="M358" s="12" t="s">
        <v>183</v>
      </c>
      <c r="N358" s="17" t="s">
        <v>322</v>
      </c>
      <c r="O358" s="1"/>
      <c r="P358" s="1" t="str" cm="1">
        <f t="array" ref="P358">SSIG0_H(AL38)</f>
        <v>956292EE</v>
      </c>
      <c r="Q358" s="1"/>
      <c r="R358" s="1"/>
      <c r="S358" s="1"/>
      <c r="T358" s="1"/>
      <c r="U358" s="26" t="s">
        <v>183</v>
      </c>
      <c r="V358" s="7" t="s">
        <v>417</v>
      </c>
      <c r="W358" t="str">
        <f>AK38</f>
        <v>9ADFFD8F</v>
      </c>
    </row>
    <row r="359" spans="1:23" x14ac:dyDescent="0.25">
      <c r="A359" s="17" t="s">
        <v>228</v>
      </c>
      <c r="B359" s="1"/>
      <c r="C359" s="1" t="str" cm="1">
        <f t="array" ref="C359">HexToBits(C358)</f>
        <v>11010101101101001101010100110001</v>
      </c>
      <c r="D359" s="1"/>
      <c r="E359" s="1"/>
      <c r="F359" s="1"/>
      <c r="G359" s="1"/>
      <c r="H359" s="1"/>
      <c r="I359" s="1" t="str" cm="1">
        <f t="array" ref="I359">HexToBits(I358)</f>
        <v>00000001011111011010000110000111</v>
      </c>
      <c r="J359" s="1"/>
      <c r="K359" s="1"/>
      <c r="L359" s="1"/>
      <c r="M359" s="1"/>
      <c r="N359" s="1"/>
      <c r="O359" s="1"/>
      <c r="P359" s="1" t="str" cm="1">
        <f t="array" ref="P359">HexToBits(P358)</f>
        <v>10010101011000101001001011101110</v>
      </c>
      <c r="Q359" s="1"/>
      <c r="R359" s="1"/>
      <c r="S359" s="1"/>
      <c r="T359" s="1"/>
      <c r="W359" t="str" cm="1">
        <f t="array" ref="W359">HexToBits(W358)</f>
        <v>10011010110111111111110110001111</v>
      </c>
    </row>
    <row r="360" spans="1:23" x14ac:dyDescent="0.25">
      <c r="A360" s="17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3" x14ac:dyDescent="0.25">
      <c r="A361" s="17" t="s">
        <v>323</v>
      </c>
      <c r="B361" s="1" t="str">
        <f>_xlfn.BASE(MOD(_xlfn.DECIMAL(C359,2) + _xlfn.DECIMAL(I359,2) + _xlfn.DECIMAL(P359,2) + _xlfn.DECIMAL(W359,2), 4294967296), 2, 32)</f>
        <v>00000111011101010000011100110101</v>
      </c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3" x14ac:dyDescent="0.25">
      <c r="A362" s="17" t="s">
        <v>213</v>
      </c>
      <c r="B362" s="1" t="str" cm="1">
        <f t="array" ref="B362">BitsToHex(B361)</f>
        <v>07750735</v>
      </c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3" s="2" customFormat="1" x14ac:dyDescent="0.25">
      <c r="A363" s="19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</row>
    <row r="364" spans="1:23" x14ac:dyDescent="0.25">
      <c r="A364" s="17" t="s">
        <v>170</v>
      </c>
      <c r="B364" s="1" t="s">
        <v>168</v>
      </c>
      <c r="C364" s="1"/>
      <c r="D364" s="1"/>
      <c r="E364" s="1"/>
      <c r="F364" s="1"/>
      <c r="G364" s="1"/>
      <c r="H364" s="1" t="s">
        <v>163</v>
      </c>
      <c r="I364" s="1"/>
      <c r="J364" s="1"/>
      <c r="K364" s="1"/>
      <c r="L364" s="1"/>
      <c r="M364" s="1" t="s">
        <v>155</v>
      </c>
      <c r="N364" s="1"/>
      <c r="O364" s="1"/>
      <c r="P364" s="1"/>
      <c r="Q364" s="1"/>
      <c r="R364" s="1"/>
      <c r="S364" s="1"/>
      <c r="T364" s="1"/>
    </row>
    <row r="365" spans="1:23" x14ac:dyDescent="0.25">
      <c r="A365" s="17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3" x14ac:dyDescent="0.25">
      <c r="A366" s="17" t="s">
        <v>324</v>
      </c>
      <c r="B366" s="1"/>
      <c r="C366" s="1" t="str" cm="1">
        <f t="array" ref="C366">SSIG1_H(AZ38)</f>
        <v>A78EAF77</v>
      </c>
      <c r="D366" s="1"/>
      <c r="E366" s="1"/>
      <c r="F366" s="1"/>
      <c r="G366" s="18" t="s">
        <v>183</v>
      </c>
      <c r="H366" s="17" t="s">
        <v>163</v>
      </c>
      <c r="I366" s="1" t="str">
        <f>AU38</f>
        <v>7E8BDE00</v>
      </c>
      <c r="J366" s="1"/>
      <c r="K366" s="1"/>
      <c r="L366" s="1"/>
      <c r="M366" s="12" t="s">
        <v>183</v>
      </c>
      <c r="N366" s="17" t="s">
        <v>325</v>
      </c>
      <c r="O366" s="1"/>
      <c r="P366" s="1" t="str" cm="1">
        <f t="array" ref="P366">SSIG0_H(AM38)</f>
        <v>99BBE88F</v>
      </c>
      <c r="Q366" s="1"/>
      <c r="R366" s="1"/>
      <c r="S366" s="1"/>
      <c r="T366" s="1"/>
      <c r="U366" s="26" t="s">
        <v>183</v>
      </c>
      <c r="V366" s="7" t="s">
        <v>418</v>
      </c>
      <c r="W366" t="str">
        <f>AL38</f>
        <v>B132D89A</v>
      </c>
    </row>
    <row r="367" spans="1:23" x14ac:dyDescent="0.25">
      <c r="A367" s="17" t="s">
        <v>228</v>
      </c>
      <c r="B367" s="1"/>
      <c r="C367" s="1" t="str" cm="1">
        <f t="array" ref="C367">HexToBits(C366)</f>
        <v>10100111100011101010111101110111</v>
      </c>
      <c r="D367" s="1"/>
      <c r="E367" s="1"/>
      <c r="F367" s="1"/>
      <c r="G367" s="1"/>
      <c r="H367" s="1"/>
      <c r="I367" s="1" t="str" cm="1">
        <f t="array" ref="I367">HexToBits(I366)</f>
        <v>01111110100010111101111000000000</v>
      </c>
      <c r="J367" s="1"/>
      <c r="K367" s="1"/>
      <c r="L367" s="1"/>
      <c r="M367" s="1"/>
      <c r="N367" s="1"/>
      <c r="O367" s="1"/>
      <c r="P367" s="1" t="str" cm="1">
        <f t="array" ref="P367">HexToBits(P366)</f>
        <v>10011001101110111110100010001111</v>
      </c>
      <c r="Q367" s="1"/>
      <c r="R367" s="1"/>
      <c r="S367" s="1"/>
      <c r="T367" s="1"/>
      <c r="W367" t="str" cm="1">
        <f t="array" ref="W367">HexToBits(W366)</f>
        <v>10110001001100101101100010011010</v>
      </c>
    </row>
    <row r="368" spans="1:23" x14ac:dyDescent="0.25">
      <c r="A368" s="17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3" x14ac:dyDescent="0.25">
      <c r="A369" s="17" t="s">
        <v>326</v>
      </c>
      <c r="B369" s="1" t="str">
        <f>_xlfn.BASE(MOD(_xlfn.DECIMAL(C367,2) + _xlfn.DECIMAL(I367,2) + _xlfn.DECIMAL(P367,2) + _xlfn.DECIMAL(W367,2), 4294967296), 2, 32)</f>
        <v>01110001000010010100111010100000</v>
      </c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3" x14ac:dyDescent="0.25">
      <c r="A370" s="17" t="s">
        <v>213</v>
      </c>
      <c r="B370" s="1" t="str" cm="1">
        <f t="array" ref="B370">BitsToHex(B369)</f>
        <v>71094EA0</v>
      </c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3" s="2" customFormat="1" x14ac:dyDescent="0.25">
      <c r="A371" s="19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</row>
    <row r="372" spans="1:23" x14ac:dyDescent="0.25">
      <c r="A372" s="17" t="s">
        <v>171</v>
      </c>
      <c r="B372" s="1" t="s">
        <v>169</v>
      </c>
      <c r="C372" s="1"/>
      <c r="D372" s="1"/>
      <c r="E372" s="1"/>
      <c r="F372" s="1"/>
      <c r="G372" s="1"/>
      <c r="H372" s="1" t="s">
        <v>164</v>
      </c>
      <c r="I372" s="1"/>
      <c r="J372" s="1"/>
      <c r="K372" s="1"/>
      <c r="L372" s="1"/>
      <c r="M372" s="1" t="s">
        <v>156</v>
      </c>
      <c r="N372" s="1"/>
      <c r="O372" s="1"/>
      <c r="P372" s="1"/>
      <c r="Q372" s="1"/>
      <c r="R372" s="1"/>
      <c r="S372" s="1"/>
      <c r="T372" s="1"/>
    </row>
    <row r="373" spans="1:23" x14ac:dyDescent="0.25">
      <c r="A373" s="17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3" x14ac:dyDescent="0.25">
      <c r="A374" s="17" t="s">
        <v>327</v>
      </c>
      <c r="B374" s="1"/>
      <c r="C374" s="1" t="str" cm="1">
        <f t="array" ref="C374">SSIG1_H(BA38)</f>
        <v>237DFE15</v>
      </c>
      <c r="D374" s="1"/>
      <c r="E374" s="1"/>
      <c r="F374" s="1"/>
      <c r="G374" s="18" t="s">
        <v>183</v>
      </c>
      <c r="H374" s="17" t="s">
        <v>164</v>
      </c>
      <c r="I374" s="1" t="str">
        <f>AV38</f>
        <v>CC8CF1CF</v>
      </c>
      <c r="J374" s="1"/>
      <c r="K374" s="1"/>
      <c r="L374" s="1"/>
      <c r="M374" s="12" t="s">
        <v>183</v>
      </c>
      <c r="N374" s="17" t="s">
        <v>328</v>
      </c>
      <c r="O374" s="1"/>
      <c r="P374" s="1" t="str" cm="1">
        <f t="array" ref="P374">SSIG0_H(AN38)</f>
        <v>B36D5573</v>
      </c>
      <c r="Q374" s="1"/>
      <c r="R374" s="1"/>
      <c r="S374" s="1"/>
      <c r="T374" s="1"/>
      <c r="U374" s="26" t="s">
        <v>183</v>
      </c>
      <c r="V374" s="7" t="s">
        <v>419</v>
      </c>
      <c r="W374" t="str">
        <f>AM38</f>
        <v>7A2B002B</v>
      </c>
    </row>
    <row r="375" spans="1:23" x14ac:dyDescent="0.25">
      <c r="A375" s="17" t="s">
        <v>228</v>
      </c>
      <c r="B375" s="1"/>
      <c r="C375" s="1" t="str" cm="1">
        <f t="array" ref="C375">HexToBits(C374)</f>
        <v>00100011011111011111111000010101</v>
      </c>
      <c r="D375" s="1"/>
      <c r="E375" s="1"/>
      <c r="F375" s="1"/>
      <c r="G375" s="1"/>
      <c r="H375" s="1"/>
      <c r="I375" s="1" t="str" cm="1">
        <f t="array" ref="I375">HexToBits(I374)</f>
        <v>11001100100011001111000111001111</v>
      </c>
      <c r="J375" s="1"/>
      <c r="K375" s="1"/>
      <c r="L375" s="1"/>
      <c r="M375" s="1"/>
      <c r="N375" s="1"/>
      <c r="O375" s="1"/>
      <c r="P375" s="1" t="str" cm="1">
        <f t="array" ref="P375">HexToBits(P374)</f>
        <v>10110011011011010101010101110011</v>
      </c>
      <c r="Q375" s="1"/>
      <c r="R375" s="1"/>
      <c r="S375" s="1"/>
      <c r="T375" s="1"/>
      <c r="W375" t="str" cm="1">
        <f t="array" ref="W375">HexToBits(W374)</f>
        <v>01111010001010110000000000101011</v>
      </c>
    </row>
    <row r="376" spans="1:23" x14ac:dyDescent="0.25">
      <c r="A376" s="17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3" x14ac:dyDescent="0.25">
      <c r="A377" s="17" t="s">
        <v>331</v>
      </c>
      <c r="B377" s="1" t="str">
        <f>_xlfn.BASE(MOD(_xlfn.DECIMAL(C375,2) + _xlfn.DECIMAL(I375,2) + _xlfn.DECIMAL(P375,2) + _xlfn.DECIMAL(W375,2), 4294967296), 2, 32)</f>
        <v>00011101101000110100010110000010</v>
      </c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3" x14ac:dyDescent="0.25">
      <c r="A378" s="17" t="s">
        <v>213</v>
      </c>
      <c r="B378" s="1" t="str" cm="1">
        <f t="array" ref="B378">BitsToHex(B377)</f>
        <v>1DA34582</v>
      </c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3" s="2" customFormat="1" x14ac:dyDescent="0.25">
      <c r="A379" s="19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</row>
    <row r="380" spans="1:23" x14ac:dyDescent="0.25">
      <c r="A380" s="17" t="s">
        <v>172</v>
      </c>
      <c r="B380" s="1" t="s">
        <v>170</v>
      </c>
      <c r="C380" s="1"/>
      <c r="D380" s="1"/>
      <c r="E380" s="1"/>
      <c r="F380" s="1"/>
      <c r="G380" s="1"/>
      <c r="H380" s="1" t="s">
        <v>165</v>
      </c>
      <c r="I380" s="1"/>
      <c r="J380" s="1"/>
      <c r="K380" s="1"/>
      <c r="L380" s="1"/>
      <c r="M380" s="1" t="s">
        <v>157</v>
      </c>
      <c r="N380" s="1"/>
      <c r="O380" s="1"/>
      <c r="P380" s="1"/>
      <c r="Q380" s="1"/>
      <c r="R380" s="1"/>
      <c r="S380" s="1"/>
      <c r="T380" s="1"/>
    </row>
    <row r="381" spans="1:23" x14ac:dyDescent="0.25">
      <c r="A381" s="17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3" x14ac:dyDescent="0.25">
      <c r="A382" s="17" t="s">
        <v>329</v>
      </c>
      <c r="B382" s="1"/>
      <c r="C382" s="1" t="str" cm="1">
        <f t="array" ref="C382">SSIG1_H(BB38)</f>
        <v>8E9874F6</v>
      </c>
      <c r="D382" s="1"/>
      <c r="E382" s="1"/>
      <c r="F382" s="1"/>
      <c r="G382" s="18" t="s">
        <v>183</v>
      </c>
      <c r="H382" s="17" t="s">
        <v>165</v>
      </c>
      <c r="I382" s="1" t="str">
        <f>AW38</f>
        <v>AC1CC344</v>
      </c>
      <c r="J382" s="1"/>
      <c r="K382" s="1"/>
      <c r="L382" s="1"/>
      <c r="M382" s="12" t="s">
        <v>183</v>
      </c>
      <c r="N382" s="17" t="s">
        <v>332</v>
      </c>
      <c r="O382" s="1"/>
      <c r="P382" s="1" t="str" cm="1">
        <f t="array" ref="P382">SSIG0_H(AO38)</f>
        <v>2FE03B32</v>
      </c>
      <c r="Q382" s="1"/>
      <c r="R382" s="1"/>
      <c r="S382" s="1"/>
      <c r="T382" s="1"/>
      <c r="U382" s="26" t="s">
        <v>183</v>
      </c>
      <c r="V382" s="7" t="s">
        <v>420</v>
      </c>
      <c r="W382" t="str">
        <f>AN38</f>
        <v>D30FF2AA</v>
      </c>
    </row>
    <row r="383" spans="1:23" x14ac:dyDescent="0.25">
      <c r="A383" s="17" t="s">
        <v>228</v>
      </c>
      <c r="B383" s="1"/>
      <c r="C383" s="1" t="str" cm="1">
        <f t="array" ref="C383">HexToBits(C382)</f>
        <v>10001110100110000111010011110110</v>
      </c>
      <c r="D383" s="1"/>
      <c r="E383" s="1"/>
      <c r="F383" s="1"/>
      <c r="G383" s="1"/>
      <c r="H383" s="1"/>
      <c r="I383" s="1" t="str" cm="1">
        <f t="array" ref="I383">HexToBits(I382)</f>
        <v>10101100000111001100001101000100</v>
      </c>
      <c r="J383" s="1"/>
      <c r="K383" s="1"/>
      <c r="L383" s="1"/>
      <c r="M383" s="1"/>
      <c r="N383" s="1"/>
      <c r="O383" s="1"/>
      <c r="P383" s="1" t="str" cm="1">
        <f t="array" ref="P383">HexToBits(P382)</f>
        <v>00101111111000000011101100110010</v>
      </c>
      <c r="Q383" s="1"/>
      <c r="R383" s="1"/>
      <c r="S383" s="1"/>
      <c r="T383" s="1"/>
      <c r="W383" t="str" cm="1">
        <f t="array" ref="W383">HexToBits(W382)</f>
        <v>11010011000011111111001010101010</v>
      </c>
    </row>
    <row r="384" spans="1:23" x14ac:dyDescent="0.25">
      <c r="A384" s="17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3" x14ac:dyDescent="0.25">
      <c r="A385" s="17" t="s">
        <v>330</v>
      </c>
      <c r="B385" s="1" t="str">
        <f>_xlfn.BASE(MOD(_xlfn.DECIMAL(C383,2) + _xlfn.DECIMAL(I383,2) + _xlfn.DECIMAL(P383,2) + _xlfn.DECIMAL(W383,2), 4294967296), 2, 32)</f>
        <v>00111101101001010110011000010110</v>
      </c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3" x14ac:dyDescent="0.25">
      <c r="A386" s="17" t="s">
        <v>213</v>
      </c>
      <c r="B386" s="1" t="str" cm="1">
        <f t="array" ref="B386">BitsToHex(B385)</f>
        <v>3DA56616</v>
      </c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3" s="2" customFormat="1" x14ac:dyDescent="0.25">
      <c r="A387" s="19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</row>
    <row r="388" spans="1:23" x14ac:dyDescent="0.25">
      <c r="A388" s="17" t="s">
        <v>173</v>
      </c>
      <c r="B388" s="1" t="s">
        <v>171</v>
      </c>
      <c r="C388" s="1"/>
      <c r="D388" s="1"/>
      <c r="E388" s="1"/>
      <c r="F388" s="1"/>
      <c r="G388" s="1"/>
      <c r="H388" s="1" t="s">
        <v>166</v>
      </c>
      <c r="I388" s="1"/>
      <c r="J388" s="1"/>
      <c r="K388" s="1"/>
      <c r="L388" s="1"/>
      <c r="M388" s="1" t="s">
        <v>158</v>
      </c>
      <c r="N388" s="1"/>
      <c r="O388" s="1"/>
      <c r="P388" s="1"/>
      <c r="Q388" s="1"/>
      <c r="R388" s="1"/>
      <c r="S388" s="1"/>
      <c r="T388" s="1"/>
    </row>
    <row r="389" spans="1:23" x14ac:dyDescent="0.25">
      <c r="A389" s="17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3" x14ac:dyDescent="0.25">
      <c r="A390" s="17" t="s">
        <v>333</v>
      </c>
      <c r="B390" s="1"/>
      <c r="C390" s="1" t="str" cm="1">
        <f t="array" ref="C390">SSIG1_H(BC38)</f>
        <v>CA7625B4</v>
      </c>
      <c r="D390" s="1"/>
      <c r="E390" s="1"/>
      <c r="F390" s="1"/>
      <c r="G390" s="18" t="s">
        <v>183</v>
      </c>
      <c r="H390" s="17" t="s">
        <v>166</v>
      </c>
      <c r="I390" s="1" t="str">
        <f>AX38</f>
        <v>E4FA7FC7</v>
      </c>
      <c r="J390" s="1"/>
      <c r="K390" s="1"/>
      <c r="L390" s="1"/>
      <c r="M390" s="12" t="s">
        <v>183</v>
      </c>
      <c r="N390" s="17" t="s">
        <v>335</v>
      </c>
      <c r="O390" s="1"/>
      <c r="P390" s="1" t="str" cm="1">
        <f t="array" ref="P390">SSIG0_H(AP38)</f>
        <v>2D1A066E</v>
      </c>
      <c r="Q390" s="1"/>
      <c r="R390" s="1"/>
      <c r="S390" s="1"/>
      <c r="T390" s="1"/>
      <c r="U390" s="26" t="s">
        <v>183</v>
      </c>
      <c r="V390" s="7" t="s">
        <v>422</v>
      </c>
      <c r="W390" t="str">
        <f>AO38</f>
        <v>468726F7</v>
      </c>
    </row>
    <row r="391" spans="1:23" x14ac:dyDescent="0.25">
      <c r="A391" s="17" t="s">
        <v>228</v>
      </c>
      <c r="B391" s="1"/>
      <c r="C391" s="1" t="str" cm="1">
        <f t="array" ref="C391">HexToBits(C390)</f>
        <v>11001010011101100010010110110100</v>
      </c>
      <c r="D391" s="1"/>
      <c r="E391" s="1"/>
      <c r="F391" s="1"/>
      <c r="G391" s="1"/>
      <c r="H391" s="1"/>
      <c r="I391" s="1" t="str" cm="1">
        <f t="array" ref="I391">HexToBits(I390)</f>
        <v>11100100111110100111111111000111</v>
      </c>
      <c r="J391" s="1"/>
      <c r="K391" s="1"/>
      <c r="L391" s="1"/>
      <c r="M391" s="1"/>
      <c r="N391" s="1"/>
      <c r="O391" s="1"/>
      <c r="P391" s="1" t="str" cm="1">
        <f t="array" ref="P391">HexToBits(P390)</f>
        <v>00101101000110100000011001101110</v>
      </c>
      <c r="Q391" s="1"/>
      <c r="R391" s="1"/>
      <c r="S391" s="1"/>
      <c r="T391" s="1"/>
      <c r="W391" t="str" cm="1">
        <f t="array" ref="W391">HexToBits(W390)</f>
        <v>01000110100001110010011011110111</v>
      </c>
    </row>
    <row r="392" spans="1:23" x14ac:dyDescent="0.25">
      <c r="A392" s="17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3" x14ac:dyDescent="0.25">
      <c r="A393" s="17" t="s">
        <v>334</v>
      </c>
      <c r="B393" s="1" t="str">
        <f>_xlfn.BASE(MOD(_xlfn.DECIMAL(C391,2) + _xlfn.DECIMAL(I391,2) + _xlfn.DECIMAL(P391,2) + _xlfn.DECIMAL(W391,2), 4294967296), 2, 32)</f>
        <v>00100011000100011101001011100000</v>
      </c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3" x14ac:dyDescent="0.25">
      <c r="A394" s="17" t="s">
        <v>213</v>
      </c>
      <c r="B394" s="1" t="str" cm="1">
        <f t="array" ref="B394">BitsToHex(B393)</f>
        <v>2311D2E0</v>
      </c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3" s="2" customFormat="1" x14ac:dyDescent="0.25">
      <c r="A395" s="19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</row>
    <row r="396" spans="1:23" x14ac:dyDescent="0.25">
      <c r="A396" s="17" t="s">
        <v>174</v>
      </c>
      <c r="B396" s="1" t="s">
        <v>172</v>
      </c>
      <c r="C396" s="1"/>
      <c r="D396" s="1"/>
      <c r="E396" s="1"/>
      <c r="F396" s="1"/>
      <c r="G396" s="1"/>
      <c r="H396" s="1" t="s">
        <v>167</v>
      </c>
      <c r="I396" s="1"/>
      <c r="J396" s="1"/>
      <c r="K396" s="1"/>
      <c r="L396" s="1"/>
      <c r="M396" s="1" t="s">
        <v>159</v>
      </c>
      <c r="N396" s="1"/>
      <c r="O396" s="1"/>
      <c r="P396" s="1"/>
      <c r="Q396" s="1"/>
      <c r="R396" s="1"/>
      <c r="S396" s="1"/>
      <c r="T396" s="1"/>
    </row>
    <row r="397" spans="1:23" x14ac:dyDescent="0.25">
      <c r="A397" s="17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3" x14ac:dyDescent="0.25">
      <c r="A398" s="17" t="s">
        <v>336</v>
      </c>
      <c r="B398" s="1"/>
      <c r="C398" s="1" t="str" cm="1">
        <f t="array" ref="C398">SSIG1_H(BD38)</f>
        <v>1FC6B03F</v>
      </c>
      <c r="D398" s="1"/>
      <c r="E398" s="1"/>
      <c r="F398" s="1"/>
      <c r="G398" s="18" t="s">
        <v>183</v>
      </c>
      <c r="H398" s="17" t="s">
        <v>167</v>
      </c>
      <c r="I398" s="1" t="str">
        <f>AY38</f>
        <v>302C893E</v>
      </c>
      <c r="J398" s="1"/>
      <c r="K398" s="1"/>
      <c r="L398" s="1"/>
      <c r="M398" s="12" t="s">
        <v>183</v>
      </c>
      <c r="N398" s="17" t="s">
        <v>337</v>
      </c>
      <c r="O398" s="1"/>
      <c r="P398" s="1" t="str" cm="1">
        <f t="array" ref="P398">SSIG0_H(AQ38)</f>
        <v>61EAE02D</v>
      </c>
      <c r="Q398" s="1"/>
      <c r="R398" s="1"/>
      <c r="S398" s="1"/>
      <c r="T398" s="1"/>
      <c r="U398" s="26" t="s">
        <v>183</v>
      </c>
      <c r="V398" s="7" t="s">
        <v>421</v>
      </c>
      <c r="W398" t="str">
        <f>AP38</f>
        <v>AA05343A</v>
      </c>
    </row>
    <row r="399" spans="1:23" x14ac:dyDescent="0.25">
      <c r="A399" s="17" t="s">
        <v>228</v>
      </c>
      <c r="B399" s="1"/>
      <c r="C399" s="1" t="str" cm="1">
        <f t="array" ref="C399">HexToBits(C398)</f>
        <v>00011111110001101011000000111111</v>
      </c>
      <c r="D399" s="1"/>
      <c r="E399" s="1"/>
      <c r="F399" s="1"/>
      <c r="G399" s="1"/>
      <c r="H399" s="1"/>
      <c r="I399" s="1" t="str" cm="1">
        <f t="array" ref="I399">HexToBits(I398)</f>
        <v>00110000001011001000100100111110</v>
      </c>
      <c r="J399" s="1"/>
      <c r="K399" s="1"/>
      <c r="L399" s="1"/>
      <c r="M399" s="1"/>
      <c r="N399" s="1"/>
      <c r="O399" s="1"/>
      <c r="P399" s="1" t="str" cm="1">
        <f t="array" ref="P399">HexToBits(P398)</f>
        <v>01100001111010101110000000101101</v>
      </c>
      <c r="Q399" s="1"/>
      <c r="R399" s="1"/>
      <c r="S399" s="1"/>
      <c r="T399" s="1"/>
      <c r="W399" t="str" cm="1">
        <f t="array" ref="W399">HexToBits(W398)</f>
        <v>10101010000001010011010000111010</v>
      </c>
    </row>
    <row r="400" spans="1:23" x14ac:dyDescent="0.25">
      <c r="A400" s="17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3" x14ac:dyDescent="0.25">
      <c r="A401" s="17" t="s">
        <v>338</v>
      </c>
      <c r="B401" s="1" t="str">
        <f>_xlfn.BASE(MOD(_xlfn.DECIMAL(C399,2) + _xlfn.DECIMAL(I399,2) + _xlfn.DECIMAL(P399,2) + _xlfn.DECIMAL(W399,2), 4294967296), 2, 32)</f>
        <v>01011011111000110100110111100100</v>
      </c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3" x14ac:dyDescent="0.25">
      <c r="A402" s="17" t="s">
        <v>213</v>
      </c>
      <c r="B402" s="1" t="str" cm="1">
        <f t="array" ref="B402">BitsToHex(B401)</f>
        <v>5BE34DE4</v>
      </c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3" s="2" customFormat="1" x14ac:dyDescent="0.25">
      <c r="A403" s="19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</row>
    <row r="404" spans="1:23" x14ac:dyDescent="0.25">
      <c r="A404" s="17" t="s">
        <v>175</v>
      </c>
      <c r="B404" s="1" t="s">
        <v>173</v>
      </c>
      <c r="C404" s="1"/>
      <c r="D404" s="1"/>
      <c r="E404" s="1"/>
      <c r="F404" s="1"/>
      <c r="G404" s="1"/>
      <c r="H404" s="1" t="s">
        <v>168</v>
      </c>
      <c r="I404" s="1"/>
      <c r="J404" s="1"/>
      <c r="K404" s="1"/>
      <c r="L404" s="1"/>
      <c r="M404" s="1" t="s">
        <v>160</v>
      </c>
      <c r="N404" s="1"/>
      <c r="O404" s="1"/>
      <c r="P404" s="1"/>
      <c r="Q404" s="1"/>
      <c r="R404" s="1"/>
      <c r="S404" s="1"/>
      <c r="T404" s="1"/>
    </row>
    <row r="405" spans="1:23" x14ac:dyDescent="0.25">
      <c r="A405" s="17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3" x14ac:dyDescent="0.25">
      <c r="A406" s="17" t="s">
        <v>339</v>
      </c>
      <c r="B406" s="1"/>
      <c r="C406" s="1" t="str" cm="1">
        <f t="array" ref="C406">SSIG1_H(BE38)</f>
        <v>D324D19E</v>
      </c>
      <c r="D406" s="1"/>
      <c r="E406" s="1"/>
      <c r="F406" s="1"/>
      <c r="G406" s="18" t="s">
        <v>183</v>
      </c>
      <c r="H406" s="17" t="s">
        <v>168</v>
      </c>
      <c r="I406" s="1" t="str">
        <f>AZ38</f>
        <v>169BA6B8</v>
      </c>
      <c r="J406" s="1"/>
      <c r="K406" s="1"/>
      <c r="L406" s="1"/>
      <c r="M406" s="12" t="s">
        <v>183</v>
      </c>
      <c r="N406" s="17" t="s">
        <v>341</v>
      </c>
      <c r="O406" s="1"/>
      <c r="P406" s="1" t="str" cm="1">
        <f t="array" ref="P406">SSIG0_H(AR38)</f>
        <v>7DB1A5AA</v>
      </c>
      <c r="Q406" s="1"/>
      <c r="R406" s="1"/>
      <c r="S406" s="1"/>
      <c r="T406" s="1"/>
      <c r="U406" s="26" t="s">
        <v>183</v>
      </c>
      <c r="V406" s="7" t="s">
        <v>423</v>
      </c>
      <c r="W406" t="str">
        <f>AQ38</f>
        <v>C38E6070</v>
      </c>
    </row>
    <row r="407" spans="1:23" x14ac:dyDescent="0.25">
      <c r="A407" s="17" t="s">
        <v>228</v>
      </c>
      <c r="B407" s="1"/>
      <c r="C407" s="1" t="str" cm="1">
        <f t="array" ref="C407">HexToBits(C406)</f>
        <v>11010011001001001101000110011110</v>
      </c>
      <c r="D407" s="1"/>
      <c r="E407" s="1"/>
      <c r="F407" s="1"/>
      <c r="G407" s="1"/>
      <c r="H407" s="1"/>
      <c r="I407" s="1" t="str" cm="1">
        <f t="array" ref="I407">HexToBits(I406)</f>
        <v>00010110100110111010011010111000</v>
      </c>
      <c r="J407" s="1"/>
      <c r="K407" s="1"/>
      <c r="L407" s="1"/>
      <c r="M407" s="1"/>
      <c r="N407" s="1"/>
      <c r="O407" s="1"/>
      <c r="P407" s="1" t="str" cm="1">
        <f t="array" ref="P407">HexToBits(P406)</f>
        <v>01111101101100011010010110101010</v>
      </c>
      <c r="Q407" s="1"/>
      <c r="R407" s="1"/>
      <c r="S407" s="1"/>
      <c r="T407" s="1"/>
      <c r="W407" t="str" cm="1">
        <f t="array" ref="W407">HexToBits(W406)</f>
        <v>11000011100011100110000001110000</v>
      </c>
    </row>
    <row r="408" spans="1:23" x14ac:dyDescent="0.25">
      <c r="A408" s="17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3" x14ac:dyDescent="0.25">
      <c r="A409" s="17" t="s">
        <v>340</v>
      </c>
      <c r="B409" s="1" t="str">
        <f>_xlfn.BASE(MOD(_xlfn.DECIMAL(C407,2) + _xlfn.DECIMAL(I407,2) + _xlfn.DECIMAL(P407,2) + _xlfn.DECIMAL(W407,2), 4294967296), 2, 32)</f>
        <v>00101011000000000111111001110000</v>
      </c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3" x14ac:dyDescent="0.25">
      <c r="A410" s="17" t="s">
        <v>213</v>
      </c>
      <c r="B410" s="1" t="str" cm="1">
        <f t="array" ref="B410">BitsToHex(B409)</f>
        <v>2B007E70</v>
      </c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3" s="2" customFormat="1" x14ac:dyDescent="0.25">
      <c r="A411" s="19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</row>
    <row r="412" spans="1:23" x14ac:dyDescent="0.25">
      <c r="A412" s="17" t="s">
        <v>176</v>
      </c>
      <c r="B412" s="1" t="s">
        <v>174</v>
      </c>
      <c r="C412" s="1"/>
      <c r="D412" s="1"/>
      <c r="E412" s="1"/>
      <c r="F412" s="1"/>
      <c r="G412" s="1"/>
      <c r="H412" s="1" t="s">
        <v>169</v>
      </c>
      <c r="I412" s="1"/>
      <c r="J412" s="1"/>
      <c r="K412" s="1"/>
      <c r="L412" s="1"/>
      <c r="M412" s="1" t="s">
        <v>161</v>
      </c>
      <c r="N412" s="1"/>
      <c r="O412" s="1"/>
      <c r="P412" s="1"/>
      <c r="Q412" s="1"/>
      <c r="R412" s="1"/>
      <c r="S412" s="1"/>
      <c r="T412" s="1"/>
    </row>
    <row r="413" spans="1:23" x14ac:dyDescent="0.25">
      <c r="A413" s="17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3" x14ac:dyDescent="0.25">
      <c r="A414" s="17" t="s">
        <v>342</v>
      </c>
      <c r="B414" s="1"/>
      <c r="C414" s="1" t="str" cm="1">
        <f t="array" ref="C414">SSIG1_H(BF38)</f>
        <v>CF585E5E</v>
      </c>
      <c r="D414" s="1"/>
      <c r="E414" s="1"/>
      <c r="F414" s="1"/>
      <c r="G414" s="18" t="s">
        <v>183</v>
      </c>
      <c r="H414" s="17" t="s">
        <v>169</v>
      </c>
      <c r="I414" s="1" t="str">
        <f>BA38</f>
        <v>07750735</v>
      </c>
      <c r="J414" s="1"/>
      <c r="K414" s="1"/>
      <c r="L414" s="1"/>
      <c r="M414" s="12" t="s">
        <v>183</v>
      </c>
      <c r="N414" s="17" t="s">
        <v>344</v>
      </c>
      <c r="O414" s="1"/>
      <c r="P414" s="1" t="str" cm="1">
        <f t="array" ref="P414">SSIG0_H(AS38)</f>
        <v>FE6DE6B5</v>
      </c>
      <c r="Q414" s="1"/>
      <c r="R414" s="1"/>
      <c r="S414" s="1"/>
      <c r="T414" s="1"/>
      <c r="U414" s="26" t="s">
        <v>183</v>
      </c>
      <c r="V414" s="7" t="s">
        <v>424</v>
      </c>
      <c r="W414" t="str">
        <f>AR38</f>
        <v>901FF249</v>
      </c>
    </row>
    <row r="415" spans="1:23" x14ac:dyDescent="0.25">
      <c r="A415" s="17" t="s">
        <v>228</v>
      </c>
      <c r="B415" s="1"/>
      <c r="C415" s="1" t="str" cm="1">
        <f t="array" ref="C415">HexToBits(C414)</f>
        <v>11001111010110000101111001011110</v>
      </c>
      <c r="D415" s="1"/>
      <c r="E415" s="1"/>
      <c r="F415" s="1"/>
      <c r="G415" s="1"/>
      <c r="H415" s="1"/>
      <c r="I415" s="1" t="str" cm="1">
        <f t="array" ref="I415">HexToBits(I414)</f>
        <v>00000111011101010000011100110101</v>
      </c>
      <c r="J415" s="1"/>
      <c r="K415" s="1"/>
      <c r="L415" s="1"/>
      <c r="M415" s="1"/>
      <c r="N415" s="1"/>
      <c r="O415" s="1"/>
      <c r="P415" s="1" t="str" cm="1">
        <f t="array" ref="P415">HexToBits(P414)</f>
        <v>11111110011011011110011010110101</v>
      </c>
      <c r="Q415" s="1"/>
      <c r="R415" s="1"/>
      <c r="S415" s="1"/>
      <c r="T415" s="1"/>
      <c r="W415" t="str" cm="1">
        <f t="array" ref="W415">HexToBits(W414)</f>
        <v>10010000000111111111001001001001</v>
      </c>
    </row>
    <row r="416" spans="1:23" x14ac:dyDescent="0.25">
      <c r="A416" s="17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3" x14ac:dyDescent="0.25">
      <c r="A417" s="17" t="s">
        <v>343</v>
      </c>
      <c r="B417" s="1" t="str">
        <f>_xlfn.BASE(MOD(_xlfn.DECIMAL(C415,2) + _xlfn.DECIMAL(I415,2) + _xlfn.DECIMAL(P415,2) + _xlfn.DECIMAL(W415,2), 4294967296), 2, 32)</f>
        <v>01100101010110110011111010010001</v>
      </c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3" x14ac:dyDescent="0.25">
      <c r="A418" s="17" t="s">
        <v>213</v>
      </c>
      <c r="B418" s="1" t="str" cm="1">
        <f t="array" ref="B418">BitsToHex(B417)</f>
        <v>655B3E91</v>
      </c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3" s="2" customFormat="1" x14ac:dyDescent="0.25">
      <c r="A419" s="19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</row>
    <row r="420" spans="1:23" x14ac:dyDescent="0.25">
      <c r="A420" s="17" t="s">
        <v>177</v>
      </c>
      <c r="B420" s="1" t="s">
        <v>175</v>
      </c>
      <c r="C420" s="1"/>
      <c r="D420" s="1"/>
      <c r="E420" s="1"/>
      <c r="F420" s="1"/>
      <c r="G420" s="1"/>
      <c r="H420" s="1" t="s">
        <v>170</v>
      </c>
      <c r="I420" s="1"/>
      <c r="J420" s="1"/>
      <c r="K420" s="1"/>
      <c r="L420" s="1"/>
      <c r="M420" s="1" t="s">
        <v>162</v>
      </c>
      <c r="N420" s="1"/>
      <c r="O420" s="1"/>
      <c r="P420" s="1"/>
      <c r="Q420" s="1"/>
      <c r="R420" s="1"/>
      <c r="S420" s="1"/>
      <c r="T420" s="1"/>
    </row>
    <row r="421" spans="1:23" x14ac:dyDescent="0.25">
      <c r="A421" s="17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3" x14ac:dyDescent="0.25">
      <c r="A422" s="17" t="s">
        <v>345</v>
      </c>
      <c r="B422" s="1"/>
      <c r="C422" s="1" t="str" cm="1">
        <f t="array" ref="C422">SSIG1_H(BG38)</f>
        <v>30FCD0FF</v>
      </c>
      <c r="D422" s="1"/>
      <c r="E422" s="1"/>
      <c r="F422" s="1"/>
      <c r="G422" s="18" t="s">
        <v>183</v>
      </c>
      <c r="H422" s="17" t="s">
        <v>170</v>
      </c>
      <c r="I422" s="1" t="str">
        <f>BB38</f>
        <v>71094EA0</v>
      </c>
      <c r="J422" s="1"/>
      <c r="K422" s="1"/>
      <c r="L422" s="1"/>
      <c r="M422" s="12" t="s">
        <v>183</v>
      </c>
      <c r="N422" s="17" t="s">
        <v>346</v>
      </c>
      <c r="O422" s="1"/>
      <c r="P422" s="1" t="str" cm="1">
        <f t="array" ref="P422">SSIG0_H(AT38)</f>
        <v>664C8F2C</v>
      </c>
      <c r="Q422" s="1"/>
      <c r="R422" s="1"/>
      <c r="S422" s="1"/>
      <c r="T422" s="1"/>
      <c r="U422" s="26" t="s">
        <v>183</v>
      </c>
      <c r="V422" s="7" t="s">
        <v>425</v>
      </c>
      <c r="W422" t="str">
        <f>AS38</f>
        <v>26F43BFA</v>
      </c>
    </row>
    <row r="423" spans="1:23" x14ac:dyDescent="0.25">
      <c r="A423" s="17" t="s">
        <v>228</v>
      </c>
      <c r="B423" s="1"/>
      <c r="C423" s="1" t="str" cm="1">
        <f t="array" ref="C423">HexToBits(C422)</f>
        <v>00110000111111001101000011111111</v>
      </c>
      <c r="D423" s="1"/>
      <c r="E423" s="1"/>
      <c r="F423" s="1"/>
      <c r="G423" s="1"/>
      <c r="H423" s="1"/>
      <c r="I423" s="1" t="str" cm="1">
        <f t="array" ref="I423">HexToBits(I422)</f>
        <v>01110001000010010100111010100000</v>
      </c>
      <c r="J423" s="1"/>
      <c r="K423" s="1"/>
      <c r="L423" s="1"/>
      <c r="M423" s="1"/>
      <c r="N423" s="1"/>
      <c r="O423" s="1"/>
      <c r="P423" s="1" t="str" cm="1">
        <f t="array" ref="P423">HexToBits(P422)</f>
        <v>01100110010011001000111100101100</v>
      </c>
      <c r="Q423" s="1"/>
      <c r="R423" s="1"/>
      <c r="S423" s="1"/>
      <c r="T423" s="1"/>
      <c r="W423" t="str" cm="1">
        <f t="array" ref="W423">HexToBits(W422)</f>
        <v>00100110111101000011101111111010</v>
      </c>
    </row>
    <row r="424" spans="1:23" x14ac:dyDescent="0.25">
      <c r="A424" s="17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3" x14ac:dyDescent="0.25">
      <c r="A425" s="17" t="s">
        <v>347</v>
      </c>
      <c r="B425" s="1" t="str">
        <f>_xlfn.BASE(MOD(_xlfn.DECIMAL(C423,2) + _xlfn.DECIMAL(I423,2) + _xlfn.DECIMAL(P423,2) + _xlfn.DECIMAL(W423,2), 4294967296), 2, 32)</f>
        <v>00101111010001101110101011000101</v>
      </c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3" x14ac:dyDescent="0.25">
      <c r="A426" s="17" t="s">
        <v>213</v>
      </c>
      <c r="B426" s="1" t="str" cm="1">
        <f t="array" ref="B426">BitsToHex(B425)</f>
        <v>2F46EAC5</v>
      </c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3" s="2" customFormat="1" x14ac:dyDescent="0.25">
      <c r="A427" s="19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</row>
    <row r="428" spans="1:23" x14ac:dyDescent="0.25">
      <c r="A428" s="17" t="s">
        <v>178</v>
      </c>
      <c r="B428" s="1" t="s">
        <v>176</v>
      </c>
      <c r="C428" s="1"/>
      <c r="D428" s="1"/>
      <c r="E428" s="1"/>
      <c r="F428" s="1"/>
      <c r="G428" s="1"/>
      <c r="H428" s="1" t="s">
        <v>171</v>
      </c>
      <c r="I428" s="1"/>
      <c r="J428" s="1"/>
      <c r="K428" s="1"/>
      <c r="L428" s="1"/>
      <c r="M428" s="1" t="s">
        <v>163</v>
      </c>
      <c r="N428" s="1"/>
      <c r="O428" s="1"/>
      <c r="P428" s="1"/>
      <c r="Q428" s="1"/>
      <c r="R428" s="1"/>
      <c r="S428" s="1"/>
      <c r="T428" s="1"/>
    </row>
    <row r="429" spans="1:23" x14ac:dyDescent="0.25">
      <c r="A429" s="17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3" x14ac:dyDescent="0.25">
      <c r="A430" s="17" t="s">
        <v>348</v>
      </c>
      <c r="B430" s="1"/>
      <c r="C430" s="1" t="str" cm="1">
        <f t="array" ref="C430">SSIG1_H(BH38)</f>
        <v>F883C8C9</v>
      </c>
      <c r="D430" s="1"/>
      <c r="E430" s="1"/>
      <c r="F430" s="1"/>
      <c r="G430" s="18" t="s">
        <v>183</v>
      </c>
      <c r="H430" s="17" t="s">
        <v>171</v>
      </c>
      <c r="I430" s="1" t="str">
        <f>BC38</f>
        <v>1DA34582</v>
      </c>
      <c r="J430" s="1"/>
      <c r="K430" s="1"/>
      <c r="L430" s="1"/>
      <c r="M430" s="12" t="s">
        <v>183</v>
      </c>
      <c r="N430" s="17" t="s">
        <v>350</v>
      </c>
      <c r="O430" s="1"/>
      <c r="P430" s="1" t="str" cm="1">
        <f t="array" ref="P430">SSIG0_H(AU38)</f>
        <v>F8AC73DE</v>
      </c>
      <c r="Q430" s="1"/>
      <c r="R430" s="1"/>
      <c r="S430" s="1"/>
      <c r="T430" s="1"/>
      <c r="U430" s="26" t="s">
        <v>183</v>
      </c>
      <c r="V430" s="7" t="s">
        <v>426</v>
      </c>
      <c r="W430" t="str">
        <f>AT38</f>
        <v>017DA187</v>
      </c>
    </row>
    <row r="431" spans="1:23" x14ac:dyDescent="0.25">
      <c r="A431" s="17" t="s">
        <v>228</v>
      </c>
      <c r="B431" s="1"/>
      <c r="C431" s="1" t="str" cm="1">
        <f t="array" ref="C431">HexToBits(C430)</f>
        <v>11111000100000111100100011001001</v>
      </c>
      <c r="D431" s="1"/>
      <c r="E431" s="1"/>
      <c r="F431" s="1"/>
      <c r="G431" s="1"/>
      <c r="H431" s="1"/>
      <c r="I431" s="1" t="str" cm="1">
        <f t="array" ref="I431">HexToBits(I430)</f>
        <v>00011101101000110100010110000010</v>
      </c>
      <c r="J431" s="1"/>
      <c r="K431" s="1"/>
      <c r="L431" s="1"/>
      <c r="M431" s="1"/>
      <c r="N431" s="1"/>
      <c r="O431" s="1"/>
      <c r="P431" s="1" t="str" cm="1">
        <f t="array" ref="P431">HexToBits(P430)</f>
        <v>11111000101011000111001111011110</v>
      </c>
      <c r="Q431" s="1"/>
      <c r="R431" s="1"/>
      <c r="S431" s="1"/>
      <c r="T431" s="1"/>
      <c r="W431" t="str" cm="1">
        <f t="array" ref="W431">HexToBits(W430)</f>
        <v>00000001011111011010000110000111</v>
      </c>
    </row>
    <row r="432" spans="1:23" x14ac:dyDescent="0.25">
      <c r="A432" s="17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3" x14ac:dyDescent="0.25">
      <c r="A433" s="17" t="s">
        <v>349</v>
      </c>
      <c r="B433" s="1" t="str">
        <f>_xlfn.BASE(MOD(_xlfn.DECIMAL(C431,2) + _xlfn.DECIMAL(I431,2) + _xlfn.DECIMAL(P431,2) + _xlfn.DECIMAL(W431,2), 4294967296), 2, 32)</f>
        <v>00010000010100010010001110110000</v>
      </c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3" x14ac:dyDescent="0.25">
      <c r="A434" s="17" t="s">
        <v>213</v>
      </c>
      <c r="B434" s="1" t="str" cm="1">
        <f t="array" ref="B434">BitsToHex(B433)</f>
        <v>105123B0</v>
      </c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3" s="2" customFormat="1" x14ac:dyDescent="0.25">
      <c r="A435" s="19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</row>
    <row r="436" spans="1:23" x14ac:dyDescent="0.25">
      <c r="A436" s="17" t="s">
        <v>179</v>
      </c>
      <c r="B436" s="1" t="s">
        <v>177</v>
      </c>
      <c r="C436" s="1"/>
      <c r="D436" s="1"/>
      <c r="E436" s="1"/>
      <c r="F436" s="1"/>
      <c r="G436" s="1"/>
      <c r="H436" s="1" t="s">
        <v>172</v>
      </c>
      <c r="I436" s="1"/>
      <c r="J436" s="1"/>
      <c r="K436" s="1"/>
      <c r="L436" s="1"/>
      <c r="M436" s="1" t="s">
        <v>164</v>
      </c>
      <c r="N436" s="1"/>
      <c r="O436" s="1"/>
      <c r="P436" s="1"/>
      <c r="Q436" s="1"/>
      <c r="R436" s="1"/>
      <c r="S436" s="1"/>
      <c r="T436" s="1"/>
    </row>
    <row r="437" spans="1:23" x14ac:dyDescent="0.25">
      <c r="A437" s="17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3" x14ac:dyDescent="0.25">
      <c r="A438" s="17" t="s">
        <v>351</v>
      </c>
      <c r="B438" s="1"/>
      <c r="C438" s="1" t="str" cm="1">
        <f t="array" ref="C438">SSIG1_H(BI38)</f>
        <v>A831E3F1</v>
      </c>
      <c r="D438" s="1"/>
      <c r="E438" s="1"/>
      <c r="F438" s="1"/>
      <c r="G438" s="18" t="s">
        <v>183</v>
      </c>
      <c r="H438" s="17" t="s">
        <v>172</v>
      </c>
      <c r="I438" s="1" t="str">
        <f>BD38</f>
        <v>3DA56616</v>
      </c>
      <c r="J438" s="1"/>
      <c r="K438" s="1"/>
      <c r="L438" s="1"/>
      <c r="M438" s="12" t="s">
        <v>183</v>
      </c>
      <c r="N438" s="17" t="s">
        <v>353</v>
      </c>
      <c r="O438" s="1"/>
      <c r="P438" s="1" t="str" cm="1">
        <f t="array" ref="P438">SSIG0_H(AV38)</f>
        <v>BA7B74F9</v>
      </c>
      <c r="Q438" s="1"/>
      <c r="R438" s="1"/>
      <c r="S438" s="1"/>
      <c r="T438" s="1"/>
      <c r="U438" s="26" t="s">
        <v>183</v>
      </c>
      <c r="V438" s="7" t="s">
        <v>427</v>
      </c>
      <c r="W438" t="str">
        <f>AU38</f>
        <v>7E8BDE00</v>
      </c>
    </row>
    <row r="439" spans="1:23" x14ac:dyDescent="0.25">
      <c r="A439" s="17" t="s">
        <v>228</v>
      </c>
      <c r="B439" s="1"/>
      <c r="C439" s="1" t="str" cm="1">
        <f t="array" ref="C439">HexToBits(C438)</f>
        <v>10101000001100011110001111110001</v>
      </c>
      <c r="D439" s="1"/>
      <c r="E439" s="1"/>
      <c r="F439" s="1"/>
      <c r="G439" s="1"/>
      <c r="H439" s="1"/>
      <c r="I439" s="1" t="str" cm="1">
        <f t="array" ref="I439">HexToBits(I438)</f>
        <v>00111101101001010110011000010110</v>
      </c>
      <c r="J439" s="1"/>
      <c r="K439" s="1"/>
      <c r="L439" s="1"/>
      <c r="M439" s="1"/>
      <c r="N439" s="1"/>
      <c r="O439" s="1"/>
      <c r="P439" s="1" t="str" cm="1">
        <f t="array" ref="P439">HexToBits(P438)</f>
        <v>10111010011110110111010011111001</v>
      </c>
      <c r="Q439" s="1"/>
      <c r="R439" s="1"/>
      <c r="S439" s="1"/>
      <c r="T439" s="1"/>
      <c r="W439" t="str" cm="1">
        <f t="array" ref="W439">HexToBits(W438)</f>
        <v>01111110100010111101111000000000</v>
      </c>
    </row>
    <row r="440" spans="1:23" x14ac:dyDescent="0.25">
      <c r="A440" s="17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3" x14ac:dyDescent="0.25">
      <c r="A441" s="17" t="s">
        <v>352</v>
      </c>
      <c r="B441" s="1" t="str">
        <f>_xlfn.BASE(MOD(_xlfn.DECIMAL(C439,2) + _xlfn.DECIMAL(I439,2) + _xlfn.DECIMAL(P439,2) + _xlfn.DECIMAL(W439,2), 4294967296), 2, 32)</f>
        <v>00011110110111101001110100000000</v>
      </c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3" x14ac:dyDescent="0.25">
      <c r="A442" s="17" t="s">
        <v>213</v>
      </c>
      <c r="B442" s="1" t="str" cm="1">
        <f t="array" ref="B442">BitsToHex(B441)</f>
        <v>1EDE9D00</v>
      </c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3" s="2" customFormat="1" x14ac:dyDescent="0.25">
      <c r="A443" s="19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</row>
    <row r="444" spans="1:23" x14ac:dyDescent="0.25">
      <c r="A444" s="17" t="s">
        <v>180</v>
      </c>
      <c r="B444" s="1" t="s">
        <v>178</v>
      </c>
      <c r="C444" s="1"/>
      <c r="D444" s="1"/>
      <c r="E444" s="1"/>
      <c r="F444" s="1"/>
      <c r="G444" s="1"/>
      <c r="H444" s="1" t="s">
        <v>173</v>
      </c>
      <c r="I444" s="1"/>
      <c r="J444" s="1"/>
      <c r="K444" s="1"/>
      <c r="L444" s="1"/>
      <c r="M444" s="1" t="s">
        <v>165</v>
      </c>
      <c r="N444" s="1"/>
      <c r="O444" s="1"/>
      <c r="P444" s="1"/>
      <c r="Q444" s="1"/>
      <c r="R444" s="1"/>
      <c r="S444" s="1"/>
      <c r="T444" s="1"/>
    </row>
    <row r="445" spans="1:23" x14ac:dyDescent="0.25">
      <c r="A445" s="17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3" x14ac:dyDescent="0.25">
      <c r="A446" s="17" t="s">
        <v>354</v>
      </c>
      <c r="B446" s="1"/>
      <c r="C446" s="1" t="str" cm="1">
        <f t="array" ref="C446">SSIG1_H(BJ38)</f>
        <v>B5AA1E6A</v>
      </c>
      <c r="D446" s="1"/>
      <c r="E446" s="1"/>
      <c r="F446" s="1"/>
      <c r="G446" s="18" t="s">
        <v>183</v>
      </c>
      <c r="H446" s="17" t="s">
        <v>173</v>
      </c>
      <c r="I446" s="1" t="str">
        <f>BE38</f>
        <v>2311D2E0</v>
      </c>
      <c r="J446" s="1"/>
      <c r="K446" s="1"/>
      <c r="L446" s="1"/>
      <c r="M446" s="12" t="s">
        <v>183</v>
      </c>
      <c r="N446" s="17" t="s">
        <v>355</v>
      </c>
      <c r="O446" s="1"/>
      <c r="P446" s="1" t="str" cm="1">
        <f t="array" ref="P446">SSIG0_H(AW38)</f>
        <v>AC0A8AE9</v>
      </c>
      <c r="Q446" s="1"/>
      <c r="R446" s="1"/>
      <c r="S446" s="1"/>
      <c r="T446" s="1"/>
      <c r="U446" s="26" t="s">
        <v>183</v>
      </c>
      <c r="V446" s="7" t="s">
        <v>428</v>
      </c>
      <c r="W446" t="str">
        <f>AV38</f>
        <v>CC8CF1CF</v>
      </c>
    </row>
    <row r="447" spans="1:23" x14ac:dyDescent="0.25">
      <c r="A447" s="17" t="s">
        <v>228</v>
      </c>
      <c r="B447" s="1"/>
      <c r="C447" s="1" t="str" cm="1">
        <f t="array" ref="C447">HexToBits(C446)</f>
        <v>10110101101010100001111001101010</v>
      </c>
      <c r="D447" s="1"/>
      <c r="E447" s="1"/>
      <c r="F447" s="1"/>
      <c r="G447" s="1"/>
      <c r="H447" s="1"/>
      <c r="I447" s="1" t="str" cm="1">
        <f t="array" ref="I447">HexToBits(I446)</f>
        <v>00100011000100011101001011100000</v>
      </c>
      <c r="J447" s="1"/>
      <c r="K447" s="1"/>
      <c r="L447" s="1"/>
      <c r="M447" s="1"/>
      <c r="N447" s="1"/>
      <c r="O447" s="1"/>
      <c r="P447" s="1" t="str" cm="1">
        <f t="array" ref="P447">HexToBits(P446)</f>
        <v>10101100000010101000101011101001</v>
      </c>
      <c r="Q447" s="1"/>
      <c r="R447" s="1"/>
      <c r="S447" s="1"/>
      <c r="T447" s="1"/>
      <c r="W447" t="str" cm="1">
        <f t="array" ref="W447">HexToBits(W446)</f>
        <v>11001100100011001111000111001111</v>
      </c>
    </row>
    <row r="448" spans="1:23" x14ac:dyDescent="0.25">
      <c r="A448" s="17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3" x14ac:dyDescent="0.25">
      <c r="A449" s="17" t="s">
        <v>356</v>
      </c>
      <c r="B449" s="1" t="str">
        <f>_xlfn.BASE(MOD(_xlfn.DECIMAL(C447,2) + _xlfn.DECIMAL(I447,2) + _xlfn.DECIMAL(P447,2) + _xlfn.DECIMAL(W447,2), 4294967296), 2, 32)</f>
        <v>01010001010100110110111000000010</v>
      </c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3" x14ac:dyDescent="0.25">
      <c r="A450" s="17" t="s">
        <v>213</v>
      </c>
      <c r="B450" s="1" t="str" cm="1">
        <f t="array" ref="B450">BitsToHex(B449)</f>
        <v>51536E02</v>
      </c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3" s="2" customFormat="1" x14ac:dyDescent="0.25">
      <c r="A451" s="19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</row>
    <row r="452" spans="1:23" x14ac:dyDescent="0.25">
      <c r="A452" s="17" t="s">
        <v>181</v>
      </c>
      <c r="B452" s="1" t="s">
        <v>179</v>
      </c>
      <c r="C452" s="1"/>
      <c r="D452" s="1"/>
      <c r="E452" s="1"/>
      <c r="F452" s="1"/>
      <c r="G452" s="1"/>
      <c r="H452" s="1" t="s">
        <v>174</v>
      </c>
      <c r="I452" s="1"/>
      <c r="J452" s="1"/>
      <c r="K452" s="1"/>
      <c r="L452" s="1"/>
      <c r="M452" s="1" t="s">
        <v>166</v>
      </c>
      <c r="N452" s="1"/>
      <c r="O452" s="1"/>
      <c r="P452" s="1"/>
      <c r="Q452" s="1"/>
      <c r="R452" s="1"/>
      <c r="S452" s="1"/>
      <c r="T452" s="1"/>
    </row>
    <row r="453" spans="1:23" x14ac:dyDescent="0.25">
      <c r="A453" s="17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3" x14ac:dyDescent="0.25">
      <c r="A454" s="17" t="s">
        <v>357</v>
      </c>
      <c r="B454" s="1"/>
      <c r="C454" s="1" t="str" cm="1">
        <f t="array" ref="C454">SSIG1_H(BK38)</f>
        <v>9D27BB13</v>
      </c>
      <c r="D454" s="1"/>
      <c r="E454" s="1"/>
      <c r="F454" s="1"/>
      <c r="G454" s="18" t="s">
        <v>183</v>
      </c>
      <c r="H454" s="17" t="s">
        <v>174</v>
      </c>
      <c r="I454" s="1" t="str">
        <f>BF38</f>
        <v>5BE34DE4</v>
      </c>
      <c r="J454" s="1"/>
      <c r="K454" s="1"/>
      <c r="L454" s="1"/>
      <c r="M454" s="12" t="s">
        <v>183</v>
      </c>
      <c r="N454" s="17" t="s">
        <v>358</v>
      </c>
      <c r="O454" s="1"/>
      <c r="P454" s="1" t="str" cm="1">
        <f t="array" ref="P454">SSIG0_H(AX38)</f>
        <v>0CA74239</v>
      </c>
      <c r="Q454" s="1"/>
      <c r="R454" s="1"/>
      <c r="S454" s="1"/>
      <c r="T454" s="1"/>
      <c r="U454" s="26" t="s">
        <v>183</v>
      </c>
      <c r="V454" s="7" t="s">
        <v>429</v>
      </c>
      <c r="W454" t="str">
        <f>AW38</f>
        <v>AC1CC344</v>
      </c>
    </row>
    <row r="455" spans="1:23" x14ac:dyDescent="0.25">
      <c r="A455" s="17" t="s">
        <v>228</v>
      </c>
      <c r="B455" s="1"/>
      <c r="C455" s="1" t="str" cm="1">
        <f t="array" ref="C455">HexToBits(C454)</f>
        <v>10011101001001111011101100010011</v>
      </c>
      <c r="D455" s="1"/>
      <c r="E455" s="1"/>
      <c r="F455" s="1"/>
      <c r="G455" s="1"/>
      <c r="H455" s="1"/>
      <c r="I455" s="1" t="str" cm="1">
        <f t="array" ref="I455">HexToBits(I454)</f>
        <v>01011011111000110100110111100100</v>
      </c>
      <c r="J455" s="1"/>
      <c r="K455" s="1"/>
      <c r="L455" s="1"/>
      <c r="M455" s="1"/>
      <c r="N455" s="1"/>
      <c r="O455" s="1"/>
      <c r="P455" s="1" t="str" cm="1">
        <f t="array" ref="P455">HexToBits(P454)</f>
        <v>00001100101001110100001000111001</v>
      </c>
      <c r="Q455" s="1"/>
      <c r="R455" s="1"/>
      <c r="S455" s="1"/>
      <c r="T455" s="1"/>
      <c r="W455" t="str" cm="1">
        <f t="array" ref="W455">HexToBits(W454)</f>
        <v>10101100000111001100001101000100</v>
      </c>
    </row>
    <row r="456" spans="1:23" x14ac:dyDescent="0.25">
      <c r="A456" s="17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3" x14ac:dyDescent="0.25">
      <c r="A457" s="17" t="s">
        <v>359</v>
      </c>
      <c r="B457" s="1" t="str">
        <f>_xlfn.BASE(MOD(_xlfn.DECIMAL(C455,2) + _xlfn.DECIMAL(I455,2) + _xlfn.DECIMAL(P455,2) + _xlfn.DECIMAL(W455,2), 4294967296), 2, 32)</f>
        <v>10110001110011110000111001110100</v>
      </c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3" x14ac:dyDescent="0.25">
      <c r="A458" s="17" t="s">
        <v>213</v>
      </c>
      <c r="B458" s="1" t="str" cm="1">
        <f t="array" ref="B458">BitsToHex(B457)</f>
        <v>B1CF0E74</v>
      </c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3" s="2" customFormat="1" x14ac:dyDescent="0.25">
      <c r="A459" s="19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</row>
    <row r="460" spans="1:23" x14ac:dyDescent="0.25">
      <c r="A460" s="17" t="s">
        <v>182</v>
      </c>
      <c r="B460" s="1" t="s">
        <v>180</v>
      </c>
      <c r="C460" s="1"/>
      <c r="D460" s="1"/>
      <c r="E460" s="1"/>
      <c r="F460" s="1"/>
      <c r="G460" s="1"/>
      <c r="H460" s="1" t="s">
        <v>175</v>
      </c>
      <c r="I460" s="1"/>
      <c r="J460" s="1"/>
      <c r="K460" s="1"/>
      <c r="L460" s="1"/>
      <c r="M460" s="1" t="s">
        <v>167</v>
      </c>
      <c r="N460" s="1"/>
      <c r="O460" s="1"/>
      <c r="P460" s="1"/>
      <c r="Q460" s="1"/>
      <c r="R460" s="1"/>
      <c r="S460" s="1"/>
      <c r="T460" s="1"/>
    </row>
    <row r="461" spans="1:23" x14ac:dyDescent="0.25">
      <c r="A461" s="17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3" x14ac:dyDescent="0.25">
      <c r="A462" s="17" t="s">
        <v>360</v>
      </c>
      <c r="B462" s="1"/>
      <c r="C462" s="1" t="str" cm="1">
        <f t="array" ref="C462">SSIG1_H(BL38)</f>
        <v>DAD53658</v>
      </c>
      <c r="D462" s="1"/>
      <c r="E462" s="1"/>
      <c r="F462" s="1"/>
      <c r="G462" s="18" t="s">
        <v>183</v>
      </c>
      <c r="H462" s="17" t="s">
        <v>175</v>
      </c>
      <c r="I462" s="1" t="str">
        <f>BG38</f>
        <v>2B007E70</v>
      </c>
      <c r="J462" s="1"/>
      <c r="K462" s="1"/>
      <c r="L462" s="1"/>
      <c r="M462" s="12" t="s">
        <v>183</v>
      </c>
      <c r="N462" s="17" t="s">
        <v>362</v>
      </c>
      <c r="O462" s="1"/>
      <c r="P462" s="1" t="str" cm="1">
        <f t="array" ref="P462">SSIG0_H(AY38)</f>
        <v>582A443E</v>
      </c>
      <c r="Q462" s="1"/>
      <c r="R462" s="1"/>
      <c r="S462" s="1"/>
      <c r="T462" s="1"/>
      <c r="U462" s="26" t="s">
        <v>183</v>
      </c>
      <c r="V462" s="7" t="s">
        <v>430</v>
      </c>
      <c r="W462" t="str">
        <f>AX38</f>
        <v>E4FA7FC7</v>
      </c>
    </row>
    <row r="463" spans="1:23" x14ac:dyDescent="0.25">
      <c r="A463" s="17" t="s">
        <v>228</v>
      </c>
      <c r="B463" s="1"/>
      <c r="C463" s="1" t="str" cm="1">
        <f t="array" ref="C463">HexToBits(C462)</f>
        <v>11011010110101010011011001011000</v>
      </c>
      <c r="D463" s="1"/>
      <c r="E463" s="1"/>
      <c r="F463" s="1"/>
      <c r="G463" s="1"/>
      <c r="H463" s="1"/>
      <c r="I463" s="1" t="str" cm="1">
        <f t="array" ref="I463">HexToBits(I462)</f>
        <v>00101011000000000111111001110000</v>
      </c>
      <c r="J463" s="1"/>
      <c r="K463" s="1"/>
      <c r="L463" s="1"/>
      <c r="M463" s="1"/>
      <c r="N463" s="1"/>
      <c r="O463" s="1"/>
      <c r="P463" s="1" t="str" cm="1">
        <f t="array" ref="P463">HexToBits(P462)</f>
        <v>01011000001010100100010000111110</v>
      </c>
      <c r="Q463" s="1"/>
      <c r="R463" s="1"/>
      <c r="S463" s="1"/>
      <c r="T463" s="1"/>
      <c r="W463" t="str" cm="1">
        <f t="array" ref="W463">HexToBits(W462)</f>
        <v>11100100111110100111111111000111</v>
      </c>
    </row>
    <row r="464" spans="1:23" x14ac:dyDescent="0.25">
      <c r="A464" s="17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x14ac:dyDescent="0.25">
      <c r="A465" s="17" t="s">
        <v>361</v>
      </c>
      <c r="B465" s="1" t="str">
        <f>_xlfn.BASE(MOD(_xlfn.DECIMAL(C463,2) + _xlfn.DECIMAL(I463,2) + _xlfn.DECIMAL(P463,2) + _xlfn.DECIMAL(W463,2), 4294967296), 2, 32)</f>
        <v>01000010111110100111100011001101</v>
      </c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x14ac:dyDescent="0.25">
      <c r="A466" s="17" t="s">
        <v>213</v>
      </c>
      <c r="B466" s="1" t="str" cm="1">
        <f t="array" ref="B466">BitsToHex(B465)</f>
        <v>42FA78CD</v>
      </c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</sheetData>
  <mergeCells count="1">
    <mergeCell ref="C1:J1"/>
  </mergeCells>
  <phoneticPr fontId="3" type="noConversion"/>
  <pageMargins left="0.7" right="0.7" top="0.75" bottom="0.75" header="0.3" footer="0.3"/>
  <ignoredErrors>
    <ignoredError sqref="G10:H10 J18" numberStoredAsText="1"/>
    <ignoredError sqref="B71" evalError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5EBE2-DA50-4D11-A266-8B88439A0A24}">
  <sheetPr codeName="Folha4"/>
  <dimension ref="A2:Q2353"/>
  <sheetViews>
    <sheetView tabSelected="1" zoomScale="85" zoomScaleNormal="85" workbookViewId="0">
      <selection activeCell="U29" sqref="U29"/>
    </sheetView>
  </sheetViews>
  <sheetFormatPr defaultRowHeight="15" x14ac:dyDescent="0.25"/>
  <cols>
    <col min="2" max="2" width="11" bestFit="1" customWidth="1"/>
    <col min="3" max="3" width="8.85546875" style="27"/>
    <col min="7" max="7" width="9.140625" customWidth="1"/>
    <col min="9" max="9" width="10" customWidth="1"/>
    <col min="10" max="10" width="9.42578125" customWidth="1"/>
    <col min="12" max="12" width="9.28515625" customWidth="1"/>
    <col min="14" max="14" width="12" bestFit="1" customWidth="1"/>
  </cols>
  <sheetData>
    <row r="2" spans="1:12" x14ac:dyDescent="0.25">
      <c r="C2" s="27" t="s">
        <v>226</v>
      </c>
      <c r="E2" s="24" t="s">
        <v>8</v>
      </c>
      <c r="F2" s="24" t="s">
        <v>29</v>
      </c>
      <c r="G2" s="24" t="s">
        <v>30</v>
      </c>
      <c r="H2" s="24" t="s">
        <v>31</v>
      </c>
      <c r="I2" s="24" t="s">
        <v>221</v>
      </c>
      <c r="J2" s="24" t="s">
        <v>222</v>
      </c>
      <c r="K2" s="24" t="s">
        <v>34</v>
      </c>
      <c r="L2" s="24" t="s">
        <v>223</v>
      </c>
    </row>
    <row r="3" spans="1:12" x14ac:dyDescent="0.25">
      <c r="E3" s="24" t="str">
        <f>Folha3!D25</f>
        <v>6a09e667</v>
      </c>
      <c r="F3" s="24" t="str">
        <f>Folha3!D26</f>
        <v>bb67ae85</v>
      </c>
      <c r="G3" s="24" t="str">
        <f>Folha3!D27</f>
        <v>3c6ef372</v>
      </c>
      <c r="H3" s="24" t="str">
        <f>Folha3!D28</f>
        <v>a54ff53a</v>
      </c>
      <c r="I3" s="25" t="str">
        <f>Folha3!D29</f>
        <v>510e527f</v>
      </c>
      <c r="J3" s="24" t="str">
        <f>Folha3!D30</f>
        <v>9b05688c</v>
      </c>
      <c r="K3" s="24" t="str">
        <f>Folha3!D31</f>
        <v>1f83d9ab</v>
      </c>
      <c r="L3" s="24" t="str">
        <f>Folha3!D32</f>
        <v>5be0cd19</v>
      </c>
    </row>
    <row r="4" spans="1:12" s="2" customFormat="1" x14ac:dyDescent="0.25">
      <c r="C4" s="30" t="s">
        <v>379</v>
      </c>
      <c r="D4" s="2">
        <v>0</v>
      </c>
    </row>
    <row r="5" spans="1:12" x14ac:dyDescent="0.25">
      <c r="D5" t="s">
        <v>380</v>
      </c>
      <c r="E5">
        <f>D4+1</f>
        <v>1</v>
      </c>
    </row>
    <row r="6" spans="1:12" x14ac:dyDescent="0.25">
      <c r="C6" s="27" t="s">
        <v>224</v>
      </c>
      <c r="E6" s="24" t="s">
        <v>8</v>
      </c>
      <c r="F6" s="24" t="s">
        <v>29</v>
      </c>
      <c r="G6" s="24" t="s">
        <v>30</v>
      </c>
      <c r="H6" s="24" t="s">
        <v>31</v>
      </c>
      <c r="I6" s="24" t="s">
        <v>221</v>
      </c>
      <c r="J6" s="24" t="s">
        <v>222</v>
      </c>
      <c r="K6" s="24" t="s">
        <v>34</v>
      </c>
      <c r="L6" s="24" t="s">
        <v>223</v>
      </c>
    </row>
    <row r="7" spans="1:12" x14ac:dyDescent="0.25">
      <c r="E7" s="24" t="str">
        <f t="shared" ref="E7:L7" si="0">E3</f>
        <v>6a09e667</v>
      </c>
      <c r="F7" s="24" t="str">
        <f t="shared" si="0"/>
        <v>bb67ae85</v>
      </c>
      <c r="G7" s="24" t="str">
        <f t="shared" si="0"/>
        <v>3c6ef372</v>
      </c>
      <c r="H7" s="24" t="str">
        <f t="shared" si="0"/>
        <v>a54ff53a</v>
      </c>
      <c r="I7" s="25" t="str">
        <f t="shared" si="0"/>
        <v>510e527f</v>
      </c>
      <c r="J7" s="24" t="str">
        <f t="shared" si="0"/>
        <v>9b05688c</v>
      </c>
      <c r="K7" s="24" t="str">
        <f t="shared" si="0"/>
        <v>1f83d9ab</v>
      </c>
      <c r="L7" s="24" t="str">
        <f t="shared" si="0"/>
        <v>5be0cd19</v>
      </c>
    </row>
    <row r="9" spans="1:12" x14ac:dyDescent="0.25">
      <c r="A9" s="7" t="s">
        <v>363</v>
      </c>
      <c r="B9" s="7"/>
      <c r="C9" s="28" t="s">
        <v>223</v>
      </c>
      <c r="D9" s="26" t="s">
        <v>183</v>
      </c>
      <c r="E9" s="8" t="s">
        <v>365</v>
      </c>
      <c r="F9" s="26" t="s">
        <v>183</v>
      </c>
      <c r="G9" s="8" t="s">
        <v>366</v>
      </c>
      <c r="H9" s="26" t="s">
        <v>183</v>
      </c>
      <c r="I9" s="8" t="s">
        <v>367</v>
      </c>
      <c r="J9" s="26" t="s">
        <v>183</v>
      </c>
      <c r="K9" s="8" t="s">
        <v>368</v>
      </c>
    </row>
    <row r="10" spans="1:12" x14ac:dyDescent="0.25">
      <c r="A10" s="7"/>
    </row>
    <row r="11" spans="1:12" x14ac:dyDescent="0.25">
      <c r="A11" s="7"/>
      <c r="C11" s="27" t="str">
        <f>L7</f>
        <v>5be0cd19</v>
      </c>
      <c r="E11" t="str" cm="1">
        <f t="array" ref="E11">BSIG1_H(I7)</f>
        <v>3587272B</v>
      </c>
      <c r="G11" t="str" cm="1">
        <f t="array" ref="G11">CH_H(I7,J7,K7)</f>
        <v>1F85C98C</v>
      </c>
      <c r="I11" t="str" cm="1">
        <f t="array" ref="I11">INDEX(Folha3!$C$15:$J$22,IF(MOD(E5,8)=0,0,1)+INT(E5/8),1+MOD(E5-1,8))</f>
        <v>428a2f98</v>
      </c>
      <c r="K11" t="str" cm="1">
        <f t="array" ref="K11">INDEX(Folha3!$C$38:$BN$38,1,E5)</f>
        <v>FF657375</v>
      </c>
    </row>
    <row r="12" spans="1:12" x14ac:dyDescent="0.25">
      <c r="A12" s="7" t="s">
        <v>370</v>
      </c>
      <c r="C12" s="27" t="str" cm="1">
        <f t="array" ref="C12">HexToBits(C11)</f>
        <v>01011011111000001100110100011001</v>
      </c>
      <c r="E12" t="str" cm="1">
        <f t="array" ref="E12">HexToBits(E11)</f>
        <v>00110101100001110010011100101011</v>
      </c>
      <c r="G12" t="str" cm="1">
        <f t="array" ref="G12">HexToBits(G11)</f>
        <v>00011111100001011100100110001100</v>
      </c>
      <c r="I12" t="str" cm="1">
        <f t="array" ref="I12">HexToBits(I11)</f>
        <v>01000010100010100010111110011000</v>
      </c>
      <c r="K12" t="str" cm="1">
        <f t="array" ref="K12">HexToBits(K11)</f>
        <v>11111111011001010111001101110101</v>
      </c>
    </row>
    <row r="13" spans="1:12" x14ac:dyDescent="0.25">
      <c r="A13" s="7"/>
    </row>
    <row r="14" spans="1:12" x14ac:dyDescent="0.25">
      <c r="A14" s="7" t="s">
        <v>364</v>
      </c>
      <c r="B14" t="str">
        <f>_xlfn.BASE(
  (_xlfn.DECIMAL(C12,2)+_xlfn.DECIMAL(E12,2)+_xlfn.DECIMAL(G12,2)+_xlfn.DECIMAL(I12,2)+_xlfn.DECIMAL(K12,2))
  - (INT((_xlfn.DECIMAL(C12,2)+_xlfn.DECIMAL(E12,2)+_xlfn.DECIMAL(G12,2)+_xlfn.DECIMAL(I12,2)+_xlfn.DECIMAL(K12,2)) / 4294967296) * 4294967296),
  2,
  32
)</f>
        <v>11110010110111010110000011011101</v>
      </c>
    </row>
    <row r="15" spans="1:12" x14ac:dyDescent="0.25">
      <c r="A15" s="7" t="s">
        <v>369</v>
      </c>
      <c r="B15" t="str" cm="1">
        <f t="array" ref="B15">BitsToHex(B14)</f>
        <v>F2DD60DD</v>
      </c>
    </row>
    <row r="18" spans="1:12" x14ac:dyDescent="0.25">
      <c r="A18" s="7" t="s">
        <v>373</v>
      </c>
      <c r="B18" s="7"/>
      <c r="C18" s="29" t="s">
        <v>371</v>
      </c>
      <c r="D18" s="26" t="s">
        <v>183</v>
      </c>
      <c r="E18" s="8" t="s">
        <v>372</v>
      </c>
      <c r="J18" s="32"/>
    </row>
    <row r="19" spans="1:12" x14ac:dyDescent="0.25">
      <c r="A19" s="7"/>
    </row>
    <row r="20" spans="1:12" x14ac:dyDescent="0.25">
      <c r="A20" s="7"/>
      <c r="C20" s="27" t="str" cm="1">
        <f t="array" ref="C20">BSIG0_H(E7)</f>
        <v>CE20B47E</v>
      </c>
      <c r="E20" t="str" cm="1">
        <f t="array" ref="E20">MAJ_H(E7,F7,G7)</f>
        <v>3A6FE667</v>
      </c>
    </row>
    <row r="21" spans="1:12" x14ac:dyDescent="0.25">
      <c r="A21" s="7" t="s">
        <v>370</v>
      </c>
      <c r="C21" s="27" t="str" cm="1">
        <f t="array" ref="C21">HexToBits(C20)</f>
        <v>11001110001000001011010001111110</v>
      </c>
      <c r="E21" t="str" cm="1">
        <f t="array" ref="E21">HexToBits(E20)</f>
        <v>00111010011011111110011001100111</v>
      </c>
    </row>
    <row r="22" spans="1:12" x14ac:dyDescent="0.25">
      <c r="A22" s="7"/>
    </row>
    <row r="23" spans="1:12" x14ac:dyDescent="0.25">
      <c r="A23" s="7" t="s">
        <v>373</v>
      </c>
      <c r="B23" t="str">
        <f>_xlfn.BASE(MOD(_xlfn.DECIMAL(C21,2) + _xlfn.DECIMAL(E21,2), 4294967296), 2, 32)</f>
        <v>00001000100100001001101011100101</v>
      </c>
    </row>
    <row r="24" spans="1:12" x14ac:dyDescent="0.25">
      <c r="A24" s="7" t="s">
        <v>369</v>
      </c>
      <c r="B24" t="str" cm="1">
        <f t="array" ref="B24">BitsToHex(B23)</f>
        <v>08909AE5</v>
      </c>
    </row>
    <row r="25" spans="1:12" x14ac:dyDescent="0.25">
      <c r="A25" s="7"/>
    </row>
    <row r="26" spans="1:12" x14ac:dyDescent="0.25">
      <c r="A26" s="7" t="s">
        <v>374</v>
      </c>
      <c r="C26" s="28" t="s">
        <v>31</v>
      </c>
      <c r="D26" s="26" t="s">
        <v>183</v>
      </c>
      <c r="E26" s="7" t="s">
        <v>227</v>
      </c>
    </row>
    <row r="27" spans="1:12" x14ac:dyDescent="0.25">
      <c r="A27" s="7"/>
      <c r="C27" s="28"/>
      <c r="D27" s="26"/>
      <c r="E27" s="7"/>
      <c r="L27" s="16"/>
    </row>
    <row r="28" spans="1:12" x14ac:dyDescent="0.25">
      <c r="C28" s="27" t="str" cm="1">
        <f t="array" ref="C28">HexToBits(H7)</f>
        <v>10100101010011111111010100111010</v>
      </c>
      <c r="D28" s="26"/>
      <c r="E28" t="str">
        <f>B14</f>
        <v>11110010110111010110000011011101</v>
      </c>
    </row>
    <row r="29" spans="1:12" x14ac:dyDescent="0.25">
      <c r="A29" s="7" t="s">
        <v>374</v>
      </c>
      <c r="B29" t="str">
        <f>_xlfn.BASE(MOD(_xlfn.DECIMAL(C28,2) + _xlfn.DECIMAL(E28,2), 4294967296), 2, 32)</f>
        <v>10011000001011010101011000010111</v>
      </c>
      <c r="D29" s="16"/>
    </row>
    <row r="30" spans="1:12" x14ac:dyDescent="0.25">
      <c r="A30" s="7" t="s">
        <v>375</v>
      </c>
      <c r="B30" t="str" cm="1">
        <f t="array" ref="B30">BitsToHex(B29)</f>
        <v>982D5617</v>
      </c>
      <c r="C30" s="28"/>
      <c r="D30" s="26"/>
      <c r="E30" s="7"/>
    </row>
    <row r="31" spans="1:12" x14ac:dyDescent="0.25">
      <c r="A31" s="7"/>
      <c r="C31" s="28"/>
      <c r="D31" s="26"/>
      <c r="E31" s="7"/>
    </row>
    <row r="32" spans="1:12" x14ac:dyDescent="0.25">
      <c r="A32" s="7" t="s">
        <v>376</v>
      </c>
      <c r="C32" s="28" t="s">
        <v>377</v>
      </c>
      <c r="D32" s="26" t="s">
        <v>183</v>
      </c>
      <c r="E32" s="7" t="s">
        <v>378</v>
      </c>
    </row>
    <row r="33" spans="1:17" x14ac:dyDescent="0.25">
      <c r="A33" s="7"/>
      <c r="C33" s="27" t="str">
        <f>B14</f>
        <v>11110010110111010110000011011101</v>
      </c>
      <c r="D33" s="16"/>
      <c r="E33" t="str">
        <f>B23</f>
        <v>00001000100100001001101011100101</v>
      </c>
    </row>
    <row r="34" spans="1:17" x14ac:dyDescent="0.25">
      <c r="A34" s="7"/>
      <c r="C34" s="28"/>
      <c r="D34" s="26"/>
      <c r="E34" s="7"/>
    </row>
    <row r="35" spans="1:17" x14ac:dyDescent="0.25">
      <c r="A35" s="7" t="s">
        <v>376</v>
      </c>
      <c r="B35" t="str">
        <f>_xlfn.BASE(MOD(_xlfn.DECIMAL(C33,2) + _xlfn.DECIMAL(E33,2), 4294967296), 2, 32)</f>
        <v>11111011011011011111101111000010</v>
      </c>
      <c r="C35" s="28"/>
      <c r="D35" s="26"/>
      <c r="E35" s="7"/>
    </row>
    <row r="36" spans="1:17" x14ac:dyDescent="0.25">
      <c r="A36" s="7" t="s">
        <v>375</v>
      </c>
      <c r="B36" t="str" cm="1">
        <f t="array" ref="B36">BitsToHex(B35)</f>
        <v>FB6DFBC2</v>
      </c>
    </row>
    <row r="38" spans="1:17" x14ac:dyDescent="0.25">
      <c r="C38" s="27" t="s">
        <v>225</v>
      </c>
      <c r="E38" s="24" t="s">
        <v>8</v>
      </c>
      <c r="F38" s="24" t="s">
        <v>29</v>
      </c>
      <c r="G38" s="24" t="s">
        <v>30</v>
      </c>
      <c r="H38" s="24" t="s">
        <v>31</v>
      </c>
      <c r="I38" s="24" t="s">
        <v>221</v>
      </c>
      <c r="J38" s="24" t="s">
        <v>222</v>
      </c>
      <c r="K38" s="24" t="s">
        <v>34</v>
      </c>
      <c r="L38" s="24" t="s">
        <v>223</v>
      </c>
    </row>
    <row r="39" spans="1:17" x14ac:dyDescent="0.25">
      <c r="E39" s="24" t="str">
        <f>B36</f>
        <v>FB6DFBC2</v>
      </c>
      <c r="F39" s="24" t="str">
        <f>E7</f>
        <v>6a09e667</v>
      </c>
      <c r="G39" s="24" t="str">
        <f>F7</f>
        <v>bb67ae85</v>
      </c>
      <c r="H39" s="24" t="str">
        <f>G7</f>
        <v>3c6ef372</v>
      </c>
      <c r="I39" s="24" t="str">
        <f>B30</f>
        <v>982D5617</v>
      </c>
      <c r="J39" s="25" t="str">
        <f>I7</f>
        <v>510e527f</v>
      </c>
      <c r="K39" s="24" t="str">
        <f>J7</f>
        <v>9b05688c</v>
      </c>
      <c r="L39" s="24" t="str">
        <f>K7</f>
        <v>1f83d9ab</v>
      </c>
    </row>
    <row r="40" spans="1:17" x14ac:dyDescent="0.25">
      <c r="A40" s="2"/>
      <c r="B40" s="2"/>
      <c r="C40" s="30" t="s">
        <v>379</v>
      </c>
      <c r="D40" s="2">
        <v>1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x14ac:dyDescent="0.25">
      <c r="D41" t="s">
        <v>380</v>
      </c>
      <c r="E41">
        <f>D40+1</f>
        <v>2</v>
      </c>
    </row>
    <row r="42" spans="1:17" x14ac:dyDescent="0.25">
      <c r="C42" s="27" t="s">
        <v>224</v>
      </c>
      <c r="E42" s="24" t="s">
        <v>8</v>
      </c>
      <c r="F42" s="24" t="s">
        <v>29</v>
      </c>
      <c r="G42" s="24" t="s">
        <v>30</v>
      </c>
      <c r="H42" s="24" t="s">
        <v>31</v>
      </c>
      <c r="I42" s="24" t="s">
        <v>221</v>
      </c>
      <c r="J42" s="24" t="s">
        <v>222</v>
      </c>
      <c r="K42" s="24" t="s">
        <v>34</v>
      </c>
      <c r="L42" s="24" t="s">
        <v>223</v>
      </c>
    </row>
    <row r="43" spans="1:17" x14ac:dyDescent="0.25">
      <c r="E43" s="24" t="str">
        <f t="shared" ref="E43:L43" si="1">E39</f>
        <v>FB6DFBC2</v>
      </c>
      <c r="F43" s="24" t="str">
        <f t="shared" si="1"/>
        <v>6a09e667</v>
      </c>
      <c r="G43" s="24" t="str">
        <f t="shared" si="1"/>
        <v>bb67ae85</v>
      </c>
      <c r="H43" s="24" t="str">
        <f t="shared" si="1"/>
        <v>3c6ef372</v>
      </c>
      <c r="I43" s="25" t="str">
        <f t="shared" si="1"/>
        <v>982D5617</v>
      </c>
      <c r="J43" s="24" t="str">
        <f t="shared" si="1"/>
        <v>510e527f</v>
      </c>
      <c r="K43" s="24" t="str">
        <f t="shared" si="1"/>
        <v>9b05688c</v>
      </c>
      <c r="L43" s="24" t="str">
        <f t="shared" si="1"/>
        <v>1f83d9ab</v>
      </c>
    </row>
    <row r="45" spans="1:17" x14ac:dyDescent="0.25">
      <c r="A45" s="7" t="s">
        <v>363</v>
      </c>
      <c r="B45" s="7"/>
      <c r="C45" s="28" t="s">
        <v>223</v>
      </c>
      <c r="D45" s="26" t="s">
        <v>183</v>
      </c>
      <c r="E45" s="8" t="s">
        <v>365</v>
      </c>
      <c r="F45" s="26" t="s">
        <v>183</v>
      </c>
      <c r="G45" s="8" t="s">
        <v>366</v>
      </c>
      <c r="H45" s="26" t="s">
        <v>183</v>
      </c>
      <c r="I45" s="8" t="s">
        <v>367</v>
      </c>
      <c r="J45" s="26" t="s">
        <v>183</v>
      </c>
      <c r="K45" s="8" t="s">
        <v>368</v>
      </c>
    </row>
    <row r="46" spans="1:17" x14ac:dyDescent="0.25">
      <c r="A46" s="7"/>
    </row>
    <row r="47" spans="1:17" x14ac:dyDescent="0.25">
      <c r="A47" s="7"/>
      <c r="C47" s="27" t="str">
        <f>L43</f>
        <v>1f83d9ab</v>
      </c>
      <c r="E47" t="str" cm="1">
        <f t="array" ref="E47">BSIG1_H(I43)</f>
        <v>8A38BB3E</v>
      </c>
      <c r="G47" t="str" cm="1">
        <f t="array" ref="G47">CH_H(I43,J43,K43)</f>
        <v>130C7A9F</v>
      </c>
      <c r="I47" t="str" cm="1">
        <f t="array" ref="I47">INDEX(Folha3!$C$15:$J$22,IF(MOD(E41,8)=0,0,1)+INT(E41/8),1+MOD(E41-1,8))</f>
        <v>71374491</v>
      </c>
      <c r="K47" t="str" cm="1">
        <f t="array" ref="K47">INDEX(Folha3!$C$38:$BN$38,1,E41)</f>
        <v>65800000</v>
      </c>
    </row>
    <row r="48" spans="1:17" x14ac:dyDescent="0.25">
      <c r="A48" s="7" t="s">
        <v>370</v>
      </c>
      <c r="C48" s="27" t="str" cm="1">
        <f t="array" ref="C48">HexToBits(C47)</f>
        <v>00011111100000111101100110101011</v>
      </c>
      <c r="E48" t="str" cm="1">
        <f t="array" ref="E48">HexToBits(E47)</f>
        <v>10001010001110001011101100111110</v>
      </c>
      <c r="G48" t="str" cm="1">
        <f t="array" ref="G48">HexToBits(G47)</f>
        <v>00010011000011000111101010011111</v>
      </c>
      <c r="I48" t="str" cm="1">
        <f t="array" ref="I48">HexToBits(I47)</f>
        <v>01110001001101110100010010010001</v>
      </c>
      <c r="K48" t="str" cm="1">
        <f t="array" ref="K48">HexToBits(K47)</f>
        <v>01100101100000000000000000000000</v>
      </c>
    </row>
    <row r="49" spans="1:12" x14ac:dyDescent="0.25">
      <c r="A49" s="7"/>
    </row>
    <row r="50" spans="1:12" x14ac:dyDescent="0.25">
      <c r="A50" s="7" t="s">
        <v>364</v>
      </c>
      <c r="B50" t="str">
        <f>_xlfn.BASE(
  (_xlfn.DECIMAL(C48,2)+_xlfn.DECIMAL(E48,2)+_xlfn.DECIMAL(G48,2)+_xlfn.DECIMAL(I48,2)+_xlfn.DECIMAL(K48,2))
  - (INT((_xlfn.DECIMAL(C48,2)+_xlfn.DECIMAL(E48,2)+_xlfn.DECIMAL(G48,2)+_xlfn.DECIMAL(I48,2)+_xlfn.DECIMAL(K48,2)) / 4294967296) * 4294967296),
  2,
  32
)</f>
        <v>10010011100000000101010000011001</v>
      </c>
    </row>
    <row r="51" spans="1:12" x14ac:dyDescent="0.25">
      <c r="A51" s="7" t="s">
        <v>369</v>
      </c>
      <c r="B51" t="str" cm="1">
        <f t="array" ref="B51">BitsToHex(B50)</f>
        <v>93805419</v>
      </c>
    </row>
    <row r="54" spans="1:12" x14ac:dyDescent="0.25">
      <c r="A54" s="7" t="s">
        <v>373</v>
      </c>
      <c r="B54" s="7"/>
      <c r="C54" s="29" t="s">
        <v>371</v>
      </c>
      <c r="D54" s="26" t="s">
        <v>183</v>
      </c>
      <c r="E54" s="8" t="s">
        <v>372</v>
      </c>
      <c r="J54" s="32"/>
    </row>
    <row r="55" spans="1:12" x14ac:dyDescent="0.25">
      <c r="A55" s="7"/>
    </row>
    <row r="56" spans="1:12" x14ac:dyDescent="0.25">
      <c r="A56" s="7"/>
      <c r="C56" s="27" t="str" cm="1">
        <f t="array" ref="C56">BSIG0_H(E43)</f>
        <v>D723AE72</v>
      </c>
      <c r="E56" t="str" cm="1">
        <f t="array" ref="E56">MAJ_H(E43,F43,G43)</f>
        <v>FB6DEEC7</v>
      </c>
    </row>
    <row r="57" spans="1:12" x14ac:dyDescent="0.25">
      <c r="A57" s="7" t="s">
        <v>370</v>
      </c>
      <c r="C57" s="27" t="str" cm="1">
        <f t="array" ref="C57">HexToBits(C56)</f>
        <v>11010111001000111010111001110010</v>
      </c>
      <c r="E57" t="str" cm="1">
        <f t="array" ref="E57">HexToBits(E56)</f>
        <v>11111011011011011110111011000111</v>
      </c>
    </row>
    <row r="58" spans="1:12" x14ac:dyDescent="0.25">
      <c r="A58" s="7"/>
    </row>
    <row r="59" spans="1:12" x14ac:dyDescent="0.25">
      <c r="A59" s="7" t="s">
        <v>373</v>
      </c>
      <c r="B59" t="str">
        <f>_xlfn.BASE(MOD(_xlfn.DECIMAL(C57,2) + _xlfn.DECIMAL(E57,2), 4294967296), 2, 32)</f>
        <v>11010010100100011001110100111001</v>
      </c>
    </row>
    <row r="60" spans="1:12" x14ac:dyDescent="0.25">
      <c r="A60" s="7" t="s">
        <v>369</v>
      </c>
      <c r="B60" t="str" cm="1">
        <f t="array" ref="B60">BitsToHex(B59)</f>
        <v>D2919D39</v>
      </c>
    </row>
    <row r="61" spans="1:12" x14ac:dyDescent="0.25">
      <c r="A61" s="7"/>
    </row>
    <row r="62" spans="1:12" x14ac:dyDescent="0.25">
      <c r="A62" s="7" t="s">
        <v>374</v>
      </c>
      <c r="C62" s="28" t="s">
        <v>31</v>
      </c>
      <c r="D62" s="26" t="s">
        <v>183</v>
      </c>
      <c r="E62" s="7" t="s">
        <v>227</v>
      </c>
    </row>
    <row r="63" spans="1:12" x14ac:dyDescent="0.25">
      <c r="A63" s="7"/>
      <c r="C63" s="28"/>
      <c r="D63" s="26"/>
      <c r="E63" s="7"/>
      <c r="L63" s="16"/>
    </row>
    <row r="64" spans="1:12" x14ac:dyDescent="0.25">
      <c r="C64" s="27" t="str" cm="1">
        <f t="array" ref="C64">HexToBits(H43)</f>
        <v>00111100011011101111001101110010</v>
      </c>
      <c r="D64" s="26"/>
      <c r="E64" t="str">
        <f>B50</f>
        <v>10010011100000000101010000011001</v>
      </c>
    </row>
    <row r="65" spans="1:17" x14ac:dyDescent="0.25">
      <c r="A65" s="7" t="s">
        <v>374</v>
      </c>
      <c r="B65" t="str">
        <f>_xlfn.BASE(MOD(_xlfn.DECIMAL(C64,2) + _xlfn.DECIMAL(E64,2), 4294967296), 2, 32)</f>
        <v>11001111111011110100011110001011</v>
      </c>
      <c r="D65" s="16"/>
    </row>
    <row r="66" spans="1:17" x14ac:dyDescent="0.25">
      <c r="A66" s="7" t="s">
        <v>375</v>
      </c>
      <c r="B66" t="str" cm="1">
        <f t="array" ref="B66">BitsToHex(B65)</f>
        <v>CFEF478B</v>
      </c>
      <c r="C66" s="28"/>
      <c r="D66" s="26"/>
      <c r="E66" s="7"/>
    </row>
    <row r="67" spans="1:17" x14ac:dyDescent="0.25">
      <c r="A67" s="7"/>
      <c r="C67" s="28"/>
      <c r="D67" s="26"/>
      <c r="E67" s="7"/>
    </row>
    <row r="68" spans="1:17" x14ac:dyDescent="0.25">
      <c r="A68" s="7" t="s">
        <v>376</v>
      </c>
      <c r="C68" s="28" t="s">
        <v>377</v>
      </c>
      <c r="D68" s="26" t="s">
        <v>183</v>
      </c>
      <c r="E68" s="7" t="s">
        <v>378</v>
      </c>
    </row>
    <row r="69" spans="1:17" x14ac:dyDescent="0.25">
      <c r="A69" s="7"/>
      <c r="C69" s="27" t="str">
        <f>B50</f>
        <v>10010011100000000101010000011001</v>
      </c>
      <c r="D69" s="16"/>
      <c r="E69" t="str">
        <f>B59</f>
        <v>11010010100100011001110100111001</v>
      </c>
    </row>
    <row r="70" spans="1:17" x14ac:dyDescent="0.25">
      <c r="A70" s="7"/>
      <c r="C70" s="28"/>
      <c r="D70" s="26"/>
      <c r="E70" s="7"/>
    </row>
    <row r="71" spans="1:17" x14ac:dyDescent="0.25">
      <c r="A71" s="7" t="s">
        <v>376</v>
      </c>
      <c r="B71" t="str">
        <f>_xlfn.BASE(MOD(_xlfn.DECIMAL(C69,2) + _xlfn.DECIMAL(E69,2), 4294967296), 2, 32)</f>
        <v>01100110000100011111000101010010</v>
      </c>
      <c r="C71" s="28"/>
      <c r="D71" s="26"/>
      <c r="E71" s="7"/>
    </row>
    <row r="72" spans="1:17" x14ac:dyDescent="0.25">
      <c r="A72" s="7" t="s">
        <v>375</v>
      </c>
      <c r="B72" t="str" cm="1">
        <f t="array" ref="B72">BitsToHex(B71)</f>
        <v>6611F152</v>
      </c>
    </row>
    <row r="74" spans="1:17" x14ac:dyDescent="0.25">
      <c r="C74" s="27" t="s">
        <v>225</v>
      </c>
      <c r="E74" s="24" t="s">
        <v>8</v>
      </c>
      <c r="F74" s="24" t="s">
        <v>29</v>
      </c>
      <c r="G74" s="24" t="s">
        <v>30</v>
      </c>
      <c r="H74" s="24" t="s">
        <v>31</v>
      </c>
      <c r="I74" s="24" t="s">
        <v>221</v>
      </c>
      <c r="J74" s="24" t="s">
        <v>222</v>
      </c>
      <c r="K74" s="24" t="s">
        <v>34</v>
      </c>
      <c r="L74" s="24" t="s">
        <v>223</v>
      </c>
    </row>
    <row r="75" spans="1:17" x14ac:dyDescent="0.25">
      <c r="E75" s="24" t="str">
        <f>B72</f>
        <v>6611F152</v>
      </c>
      <c r="F75" s="24" t="str">
        <f>E43</f>
        <v>FB6DFBC2</v>
      </c>
      <c r="G75" s="24" t="str">
        <f>F43</f>
        <v>6a09e667</v>
      </c>
      <c r="H75" s="24" t="str">
        <f>G43</f>
        <v>bb67ae85</v>
      </c>
      <c r="I75" s="24" t="str">
        <f>B66</f>
        <v>CFEF478B</v>
      </c>
      <c r="J75" s="25" t="str">
        <f>I43</f>
        <v>982D5617</v>
      </c>
      <c r="K75" s="24" t="str">
        <f>J43</f>
        <v>510e527f</v>
      </c>
      <c r="L75" s="24" t="str">
        <f>K43</f>
        <v>9b05688c</v>
      </c>
    </row>
    <row r="76" spans="1:17" x14ac:dyDescent="0.25">
      <c r="A76" s="2"/>
      <c r="B76" s="2"/>
      <c r="C76" s="30" t="s">
        <v>379</v>
      </c>
      <c r="D76" s="2">
        <v>2</v>
      </c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spans="1:17" x14ac:dyDescent="0.25">
      <c r="D77" t="s">
        <v>380</v>
      </c>
      <c r="E77">
        <f>D76+1</f>
        <v>3</v>
      </c>
    </row>
    <row r="78" spans="1:17" x14ac:dyDescent="0.25">
      <c r="C78" s="27" t="s">
        <v>224</v>
      </c>
      <c r="E78" s="24" t="s">
        <v>8</v>
      </c>
      <c r="F78" s="24" t="s">
        <v>29</v>
      </c>
      <c r="G78" s="24" t="s">
        <v>30</v>
      </c>
      <c r="H78" s="24" t="s">
        <v>31</v>
      </c>
      <c r="I78" s="24" t="s">
        <v>221</v>
      </c>
      <c r="J78" s="24" t="s">
        <v>222</v>
      </c>
      <c r="K78" s="24" t="s">
        <v>34</v>
      </c>
      <c r="L78" s="24" t="s">
        <v>223</v>
      </c>
    </row>
    <row r="79" spans="1:17" x14ac:dyDescent="0.25">
      <c r="E79" s="24" t="str">
        <f t="shared" ref="E79:L79" si="2">E75</f>
        <v>6611F152</v>
      </c>
      <c r="F79" s="24" t="str">
        <f t="shared" si="2"/>
        <v>FB6DFBC2</v>
      </c>
      <c r="G79" s="24" t="str">
        <f t="shared" si="2"/>
        <v>6a09e667</v>
      </c>
      <c r="H79" s="24" t="str">
        <f t="shared" si="2"/>
        <v>bb67ae85</v>
      </c>
      <c r="I79" s="25" t="str">
        <f t="shared" si="2"/>
        <v>CFEF478B</v>
      </c>
      <c r="J79" s="24" t="str">
        <f t="shared" si="2"/>
        <v>982D5617</v>
      </c>
      <c r="K79" s="24" t="str">
        <f t="shared" si="2"/>
        <v>510e527f</v>
      </c>
      <c r="L79" s="24" t="str">
        <f t="shared" si="2"/>
        <v>9b05688c</v>
      </c>
    </row>
    <row r="81" spans="1:11" x14ac:dyDescent="0.25">
      <c r="A81" s="7" t="s">
        <v>363</v>
      </c>
      <c r="B81" s="7"/>
      <c r="C81" s="28" t="s">
        <v>223</v>
      </c>
      <c r="D81" s="26" t="s">
        <v>183</v>
      </c>
      <c r="E81" s="8" t="s">
        <v>365</v>
      </c>
      <c r="F81" s="26" t="s">
        <v>183</v>
      </c>
      <c r="G81" s="8" t="s">
        <v>366</v>
      </c>
      <c r="H81" s="26" t="s">
        <v>183</v>
      </c>
      <c r="I81" s="8" t="s">
        <v>367</v>
      </c>
      <c r="J81" s="26" t="s">
        <v>183</v>
      </c>
      <c r="K81" s="8" t="s">
        <v>368</v>
      </c>
    </row>
    <row r="82" spans="1:11" x14ac:dyDescent="0.25">
      <c r="A82" s="7"/>
    </row>
    <row r="83" spans="1:11" x14ac:dyDescent="0.25">
      <c r="A83" s="7"/>
      <c r="C83" s="27" t="str">
        <f>L79</f>
        <v>9b05688c</v>
      </c>
      <c r="E83" t="str" cm="1">
        <f t="array" ref="E83">BSIG1_H(I79)</f>
        <v>29E58511</v>
      </c>
      <c r="G83" t="str" cm="1">
        <f t="array" ref="G83">CH_H(I79,J79,K79)</f>
        <v>982D5677</v>
      </c>
      <c r="I83" t="str" cm="1">
        <f t="array" ref="I83">INDEX(Folha3!$C$15:$J$22,IF(MOD(E77,8)=0,0,1)+INT(E77/8),1+MOD(E77-1,8))</f>
        <v>b5c0fbcf</v>
      </c>
      <c r="K83" t="str" cm="1">
        <f t="array" ref="K83">INDEX(Folha3!$C$38:$BN$38,1,E77)</f>
        <v>00000000</v>
      </c>
    </row>
    <row r="84" spans="1:11" x14ac:dyDescent="0.25">
      <c r="A84" s="7" t="s">
        <v>370</v>
      </c>
      <c r="C84" s="27" t="str" cm="1">
        <f t="array" ref="C84">HexToBits(C83)</f>
        <v>10011011000001010110100010001100</v>
      </c>
      <c r="E84" t="str" cm="1">
        <f t="array" ref="E84">HexToBits(E83)</f>
        <v>00101001111001011000010100010001</v>
      </c>
      <c r="G84" t="str" cm="1">
        <f t="array" ref="G84">HexToBits(G83)</f>
        <v>10011000001011010101011001110111</v>
      </c>
      <c r="I84" t="str" cm="1">
        <f t="array" ref="I84">HexToBits(I83)</f>
        <v>10110101110000001111101111001111</v>
      </c>
      <c r="K84" t="str" cm="1">
        <f t="array" ref="K84">HexToBits(K83)</f>
        <v>00000000000000000000000000000000</v>
      </c>
    </row>
    <row r="85" spans="1:11" x14ac:dyDescent="0.25">
      <c r="A85" s="7"/>
    </row>
    <row r="86" spans="1:11" x14ac:dyDescent="0.25">
      <c r="A86" s="7" t="s">
        <v>364</v>
      </c>
      <c r="B86" t="str">
        <f>_xlfn.BASE(
  (_xlfn.DECIMAL(C84,2)+_xlfn.DECIMAL(E84,2)+_xlfn.DECIMAL(G84,2)+_xlfn.DECIMAL(I84,2)+_xlfn.DECIMAL(K84,2))
  - (INT((_xlfn.DECIMAL(C84,2)+_xlfn.DECIMAL(E84,2)+_xlfn.DECIMAL(G84,2)+_xlfn.DECIMAL(I84,2)+_xlfn.DECIMAL(K84,2)) / 4294967296) * 4294967296),
  2,
  32
)</f>
        <v>00010010110110010011111111100011</v>
      </c>
    </row>
    <row r="87" spans="1:11" x14ac:dyDescent="0.25">
      <c r="A87" s="7" t="s">
        <v>369</v>
      </c>
      <c r="B87" t="str" cm="1">
        <f t="array" ref="B87">BitsToHex(B86)</f>
        <v>12D93FE3</v>
      </c>
    </row>
    <row r="90" spans="1:11" x14ac:dyDescent="0.25">
      <c r="A90" s="7" t="s">
        <v>373</v>
      </c>
      <c r="B90" s="7"/>
      <c r="C90" s="29" t="s">
        <v>371</v>
      </c>
      <c r="D90" s="26" t="s">
        <v>183</v>
      </c>
      <c r="E90" s="8" t="s">
        <v>372</v>
      </c>
      <c r="J90" s="32"/>
    </row>
    <row r="91" spans="1:11" x14ac:dyDescent="0.25">
      <c r="A91" s="7"/>
    </row>
    <row r="92" spans="1:11" x14ac:dyDescent="0.25">
      <c r="A92" s="7"/>
      <c r="C92" s="27" t="str" cm="1">
        <f t="array" ref="C92">BSIG0_H(E79)</f>
        <v>54D20543</v>
      </c>
      <c r="E92" t="str" cm="1">
        <f t="array" ref="E92">MAJ_H(E79,F79,G79)</f>
        <v>6A09F342</v>
      </c>
    </row>
    <row r="93" spans="1:11" x14ac:dyDescent="0.25">
      <c r="A93" s="7" t="s">
        <v>370</v>
      </c>
      <c r="C93" s="27" t="str" cm="1">
        <f t="array" ref="C93">HexToBits(C92)</f>
        <v>01010100110100100000010101000011</v>
      </c>
      <c r="E93" t="str" cm="1">
        <f t="array" ref="E93">HexToBits(E92)</f>
        <v>01101010000010011111001101000010</v>
      </c>
    </row>
    <row r="94" spans="1:11" x14ac:dyDescent="0.25">
      <c r="A94" s="7"/>
    </row>
    <row r="95" spans="1:11" x14ac:dyDescent="0.25">
      <c r="A95" s="7" t="s">
        <v>373</v>
      </c>
      <c r="B95" t="str">
        <f>_xlfn.BASE(MOD(_xlfn.DECIMAL(C93,2) + _xlfn.DECIMAL(E93,2), 4294967296), 2, 32)</f>
        <v>10111110110110111111100010000101</v>
      </c>
    </row>
    <row r="96" spans="1:11" x14ac:dyDescent="0.25">
      <c r="A96" s="7" t="s">
        <v>369</v>
      </c>
      <c r="B96" t="str" cm="1">
        <f t="array" ref="B96">BitsToHex(B95)</f>
        <v>BEDBF885</v>
      </c>
    </row>
    <row r="97" spans="1:13" x14ac:dyDescent="0.25">
      <c r="A97" s="7"/>
    </row>
    <row r="98" spans="1:13" x14ac:dyDescent="0.25">
      <c r="A98" s="7" t="s">
        <v>374</v>
      </c>
      <c r="C98" s="28" t="s">
        <v>31</v>
      </c>
      <c r="D98" s="26" t="s">
        <v>183</v>
      </c>
      <c r="E98" s="7" t="s">
        <v>227</v>
      </c>
    </row>
    <row r="99" spans="1:13" x14ac:dyDescent="0.25">
      <c r="A99" s="7"/>
      <c r="C99" s="28"/>
      <c r="D99" s="26"/>
      <c r="E99" s="7"/>
      <c r="L99" s="16"/>
    </row>
    <row r="100" spans="1:13" x14ac:dyDescent="0.25">
      <c r="C100" s="27" t="str" cm="1">
        <f t="array" ref="C100">HexToBits(H79)</f>
        <v>10111011011001111010111010000101</v>
      </c>
      <c r="D100" s="26"/>
      <c r="E100" t="str">
        <f>B86</f>
        <v>00010010110110010011111111100011</v>
      </c>
    </row>
    <row r="101" spans="1:13" x14ac:dyDescent="0.25">
      <c r="A101" s="7" t="s">
        <v>374</v>
      </c>
      <c r="B101" t="str">
        <f>_xlfn.BASE(MOD(_xlfn.DECIMAL(C100,2) + _xlfn.DECIMAL(E100,2), 4294967296), 2, 32)</f>
        <v>11001110010000001110111001101000</v>
      </c>
      <c r="D101" s="16"/>
    </row>
    <row r="102" spans="1:13" x14ac:dyDescent="0.25">
      <c r="A102" s="7" t="s">
        <v>375</v>
      </c>
      <c r="B102" t="str" cm="1">
        <f t="array" ref="B102">BitsToHex(B101)</f>
        <v>CE40EE68</v>
      </c>
      <c r="C102" s="28"/>
      <c r="D102" s="26"/>
      <c r="E102" s="7"/>
    </row>
    <row r="103" spans="1:13" x14ac:dyDescent="0.25">
      <c r="A103" s="7"/>
      <c r="C103" s="28"/>
      <c r="D103" s="26"/>
      <c r="E103" s="7"/>
    </row>
    <row r="104" spans="1:13" x14ac:dyDescent="0.25">
      <c r="A104" s="7" t="s">
        <v>376</v>
      </c>
      <c r="C104" s="28" t="s">
        <v>377</v>
      </c>
      <c r="D104" s="26" t="s">
        <v>183</v>
      </c>
      <c r="E104" s="7" t="s">
        <v>378</v>
      </c>
    </row>
    <row r="105" spans="1:13" x14ac:dyDescent="0.25">
      <c r="A105" s="7"/>
      <c r="C105" s="27" t="str">
        <f>B86</f>
        <v>00010010110110010011111111100011</v>
      </c>
      <c r="D105" s="16"/>
      <c r="E105" t="str">
        <f>B95</f>
        <v>10111110110110111111100010000101</v>
      </c>
    </row>
    <row r="106" spans="1:13" x14ac:dyDescent="0.25">
      <c r="A106" s="7"/>
      <c r="C106" s="28"/>
      <c r="D106" s="26"/>
      <c r="E106" s="7"/>
    </row>
    <row r="107" spans="1:13" x14ac:dyDescent="0.25">
      <c r="A107" s="7" t="s">
        <v>376</v>
      </c>
      <c r="B107" t="str">
        <f>_xlfn.BASE(MOD(_xlfn.DECIMAL(C105,2) + _xlfn.DECIMAL(E105,2), 4294967296), 2, 32)</f>
        <v>11010001101101010011100001101000</v>
      </c>
      <c r="C107" s="28"/>
      <c r="D107" s="26"/>
      <c r="E107" s="7"/>
    </row>
    <row r="108" spans="1:13" x14ac:dyDescent="0.25">
      <c r="A108" s="7" t="s">
        <v>375</v>
      </c>
      <c r="B108" t="str" cm="1">
        <f t="array" ref="B108">BitsToHex(B107)</f>
        <v>D1B53868</v>
      </c>
    </row>
    <row r="110" spans="1:13" x14ac:dyDescent="0.25">
      <c r="C110" s="27" t="s">
        <v>225</v>
      </c>
      <c r="E110" s="24" t="s">
        <v>8</v>
      </c>
      <c r="F110" s="24" t="s">
        <v>29</v>
      </c>
      <c r="G110" s="24" t="s">
        <v>30</v>
      </c>
      <c r="H110" s="24" t="s">
        <v>31</v>
      </c>
      <c r="I110" s="24" t="s">
        <v>221</v>
      </c>
      <c r="J110" s="24" t="s">
        <v>222</v>
      </c>
      <c r="K110" s="24" t="s">
        <v>34</v>
      </c>
      <c r="L110" s="24" t="s">
        <v>223</v>
      </c>
    </row>
    <row r="111" spans="1:13" x14ac:dyDescent="0.25">
      <c r="E111" s="24" t="str">
        <f>B108</f>
        <v>D1B53868</v>
      </c>
      <c r="F111" s="24" t="str">
        <f>E79</f>
        <v>6611F152</v>
      </c>
      <c r="G111" s="24" t="str">
        <f>F79</f>
        <v>FB6DFBC2</v>
      </c>
      <c r="H111" s="24" t="str">
        <f>G79</f>
        <v>6a09e667</v>
      </c>
      <c r="I111" s="24" t="str">
        <f>B102</f>
        <v>CE40EE68</v>
      </c>
      <c r="J111" s="25" t="str">
        <f>I79</f>
        <v>CFEF478B</v>
      </c>
      <c r="K111" s="24" t="str">
        <f>J79</f>
        <v>982D5617</v>
      </c>
      <c r="L111" s="24" t="str">
        <f>K79</f>
        <v>510e527f</v>
      </c>
    </row>
    <row r="112" spans="1:13" x14ac:dyDescent="0.25">
      <c r="A112" s="2"/>
      <c r="B112" s="2"/>
      <c r="C112" s="30" t="s">
        <v>379</v>
      </c>
      <c r="D112" s="2">
        <v>3</v>
      </c>
      <c r="E112" s="2"/>
      <c r="F112" s="2"/>
      <c r="G112" s="2"/>
      <c r="H112" s="2"/>
      <c r="I112" s="2"/>
      <c r="J112" s="2"/>
      <c r="K112" s="2"/>
      <c r="L112" s="2"/>
      <c r="M112" s="2"/>
    </row>
    <row r="113" spans="1:12" x14ac:dyDescent="0.25">
      <c r="D113" t="s">
        <v>380</v>
      </c>
      <c r="E113">
        <f>D112+1</f>
        <v>4</v>
      </c>
    </row>
    <row r="114" spans="1:12" x14ac:dyDescent="0.25">
      <c r="C114" s="27" t="s">
        <v>224</v>
      </c>
      <c r="E114" s="24" t="s">
        <v>8</v>
      </c>
      <c r="F114" s="24" t="s">
        <v>29</v>
      </c>
      <c r="G114" s="24" t="s">
        <v>30</v>
      </c>
      <c r="H114" s="24" t="s">
        <v>31</v>
      </c>
      <c r="I114" s="24" t="s">
        <v>221</v>
      </c>
      <c r="J114" s="24" t="s">
        <v>222</v>
      </c>
      <c r="K114" s="24" t="s">
        <v>34</v>
      </c>
      <c r="L114" s="24" t="s">
        <v>223</v>
      </c>
    </row>
    <row r="115" spans="1:12" x14ac:dyDescent="0.25">
      <c r="E115" s="24" t="str">
        <f t="shared" ref="E115:L115" si="3">E111</f>
        <v>D1B53868</v>
      </c>
      <c r="F115" s="24" t="str">
        <f t="shared" si="3"/>
        <v>6611F152</v>
      </c>
      <c r="G115" s="24" t="str">
        <f t="shared" si="3"/>
        <v>FB6DFBC2</v>
      </c>
      <c r="H115" s="24" t="str">
        <f t="shared" si="3"/>
        <v>6a09e667</v>
      </c>
      <c r="I115" s="25" t="str">
        <f t="shared" si="3"/>
        <v>CE40EE68</v>
      </c>
      <c r="J115" s="24" t="str">
        <f t="shared" si="3"/>
        <v>CFEF478B</v>
      </c>
      <c r="K115" s="24" t="str">
        <f t="shared" si="3"/>
        <v>982D5617</v>
      </c>
      <c r="L115" s="24" t="str">
        <f t="shared" si="3"/>
        <v>510e527f</v>
      </c>
    </row>
    <row r="117" spans="1:12" x14ac:dyDescent="0.25">
      <c r="A117" s="7" t="s">
        <v>363</v>
      </c>
      <c r="B117" s="7"/>
      <c r="C117" s="28" t="s">
        <v>223</v>
      </c>
      <c r="D117" s="26" t="s">
        <v>183</v>
      </c>
      <c r="E117" s="8" t="s">
        <v>365</v>
      </c>
      <c r="F117" s="26" t="s">
        <v>183</v>
      </c>
      <c r="G117" s="8" t="s">
        <v>366</v>
      </c>
      <c r="H117" s="26" t="s">
        <v>183</v>
      </c>
      <c r="I117" s="8" t="s">
        <v>367</v>
      </c>
      <c r="J117" s="26" t="s">
        <v>183</v>
      </c>
      <c r="K117" s="8" t="s">
        <v>368</v>
      </c>
    </row>
    <row r="118" spans="1:12" x14ac:dyDescent="0.25">
      <c r="A118" s="7"/>
    </row>
    <row r="119" spans="1:12" x14ac:dyDescent="0.25">
      <c r="A119" s="7"/>
      <c r="C119" s="27" t="str">
        <f>L115</f>
        <v>510e527f</v>
      </c>
      <c r="E119" t="str" cm="1">
        <f t="array" ref="E119">BSIG1_H(I115)</f>
        <v>4E57FFC3</v>
      </c>
      <c r="G119" t="str" cm="1">
        <f t="array" ref="G119">CH_H(I115,J115,K115)</f>
        <v>DE6D561F</v>
      </c>
      <c r="I119" t="str" cm="1">
        <f t="array" ref="I119">INDEX(Folha3!$C$15:$J$22,IF(MOD(E113,8)=0,0,1)+INT(E113/8),1+MOD(E113-1,8))</f>
        <v>e9b5dba5</v>
      </c>
      <c r="K119" t="str" cm="1">
        <f t="array" ref="K119">INDEX(Folha3!$C$38:$BN$38,1,E113)</f>
        <v>00000000</v>
      </c>
    </row>
    <row r="120" spans="1:12" x14ac:dyDescent="0.25">
      <c r="A120" s="7" t="s">
        <v>370</v>
      </c>
      <c r="C120" s="27" t="str" cm="1">
        <f t="array" ref="C120">HexToBits(C119)</f>
        <v>01010001000011100101001001111111</v>
      </c>
      <c r="E120" t="str" cm="1">
        <f t="array" ref="E120">HexToBits(E119)</f>
        <v>01001110010101111111111111000011</v>
      </c>
      <c r="G120" t="str" cm="1">
        <f t="array" ref="G120">HexToBits(G119)</f>
        <v>11011110011011010101011000011111</v>
      </c>
      <c r="I120" t="str" cm="1">
        <f t="array" ref="I120">HexToBits(I119)</f>
        <v>11101001101101011101101110100101</v>
      </c>
      <c r="K120" t="str" cm="1">
        <f t="array" ref="K120">HexToBits(K119)</f>
        <v>00000000000000000000000000000000</v>
      </c>
    </row>
    <row r="121" spans="1:12" x14ac:dyDescent="0.25">
      <c r="A121" s="7"/>
    </row>
    <row r="122" spans="1:12" x14ac:dyDescent="0.25">
      <c r="A122" s="7" t="s">
        <v>364</v>
      </c>
      <c r="B122" t="str">
        <f>_xlfn.BASE(
  (_xlfn.DECIMAL(C120,2)+_xlfn.DECIMAL(E120,2)+_xlfn.DECIMAL(G120,2)+_xlfn.DECIMAL(I120,2)+_xlfn.DECIMAL(K120,2))
  - (INT((_xlfn.DECIMAL(C120,2)+_xlfn.DECIMAL(E120,2)+_xlfn.DECIMAL(G120,2)+_xlfn.DECIMAL(I120,2)+_xlfn.DECIMAL(K120,2)) / 4294967296) * 4294967296),
  2,
  32
)</f>
        <v>01100111100010011000010000000110</v>
      </c>
    </row>
    <row r="123" spans="1:12" x14ac:dyDescent="0.25">
      <c r="A123" s="7" t="s">
        <v>369</v>
      </c>
      <c r="B123" t="str" cm="1">
        <f t="array" ref="B123">BitsToHex(B122)</f>
        <v>67898406</v>
      </c>
    </row>
    <row r="126" spans="1:12" x14ac:dyDescent="0.25">
      <c r="A126" s="7" t="s">
        <v>373</v>
      </c>
      <c r="B126" s="7"/>
      <c r="C126" s="29" t="s">
        <v>371</v>
      </c>
      <c r="D126" s="26" t="s">
        <v>183</v>
      </c>
      <c r="E126" s="8" t="s">
        <v>372</v>
      </c>
      <c r="J126" s="32"/>
    </row>
    <row r="127" spans="1:12" x14ac:dyDescent="0.25">
      <c r="A127" s="7"/>
    </row>
    <row r="128" spans="1:12" x14ac:dyDescent="0.25">
      <c r="A128" s="7"/>
      <c r="C128" s="27" t="str" cm="1">
        <f t="array" ref="C128">BSIG0_H(E115)</f>
        <v>23CA60F5</v>
      </c>
      <c r="E128" t="str" cm="1">
        <f t="array" ref="E128">MAJ_H(E115,F115,G115)</f>
        <v>F335F942</v>
      </c>
    </row>
    <row r="129" spans="1:12" x14ac:dyDescent="0.25">
      <c r="A129" s="7" t="s">
        <v>370</v>
      </c>
      <c r="C129" s="27" t="str" cm="1">
        <f t="array" ref="C129">HexToBits(C128)</f>
        <v>00100011110010100110000011110101</v>
      </c>
      <c r="E129" t="str" cm="1">
        <f t="array" ref="E129">HexToBits(E128)</f>
        <v>11110011001101011111100101000010</v>
      </c>
    </row>
    <row r="130" spans="1:12" x14ac:dyDescent="0.25">
      <c r="A130" s="7"/>
    </row>
    <row r="131" spans="1:12" x14ac:dyDescent="0.25">
      <c r="A131" s="7" t="s">
        <v>373</v>
      </c>
      <c r="B131" t="str">
        <f>_xlfn.BASE(MOD(_xlfn.DECIMAL(C129,2) + _xlfn.DECIMAL(E129,2), 4294967296), 2, 32)</f>
        <v>00010111000000000101101000110111</v>
      </c>
    </row>
    <row r="132" spans="1:12" x14ac:dyDescent="0.25">
      <c r="A132" s="7" t="s">
        <v>369</v>
      </c>
      <c r="B132" t="str" cm="1">
        <f t="array" ref="B132">BitsToHex(B131)</f>
        <v>17005A37</v>
      </c>
    </row>
    <row r="133" spans="1:12" x14ac:dyDescent="0.25">
      <c r="A133" s="7"/>
    </row>
    <row r="134" spans="1:12" x14ac:dyDescent="0.25">
      <c r="A134" s="7" t="s">
        <v>374</v>
      </c>
      <c r="C134" s="28" t="s">
        <v>31</v>
      </c>
      <c r="D134" s="26" t="s">
        <v>183</v>
      </c>
      <c r="E134" s="7" t="s">
        <v>227</v>
      </c>
    </row>
    <row r="135" spans="1:12" x14ac:dyDescent="0.25">
      <c r="A135" s="7"/>
      <c r="C135" s="28"/>
      <c r="D135" s="26"/>
      <c r="E135" s="7"/>
      <c r="L135" s="16"/>
    </row>
    <row r="136" spans="1:12" x14ac:dyDescent="0.25">
      <c r="C136" s="27" t="str" cm="1">
        <f t="array" ref="C136">HexToBits(H115)</f>
        <v>01101010000010011110011001100111</v>
      </c>
      <c r="D136" s="26"/>
      <c r="E136" t="str">
        <f>B122</f>
        <v>01100111100010011000010000000110</v>
      </c>
    </row>
    <row r="137" spans="1:12" x14ac:dyDescent="0.25">
      <c r="A137" s="7" t="s">
        <v>374</v>
      </c>
      <c r="B137" t="str">
        <f>_xlfn.BASE(MOD(_xlfn.DECIMAL(C136,2) + _xlfn.DECIMAL(E136,2), 4294967296), 2, 32)</f>
        <v>11010001100100110110101001101101</v>
      </c>
      <c r="D137" s="16"/>
    </row>
    <row r="138" spans="1:12" x14ac:dyDescent="0.25">
      <c r="A138" s="7" t="s">
        <v>375</v>
      </c>
      <c r="B138" t="str" cm="1">
        <f t="array" ref="B138">BitsToHex(B137)</f>
        <v>D1936A6D</v>
      </c>
      <c r="C138" s="28"/>
      <c r="D138" s="26"/>
      <c r="E138" s="7"/>
    </row>
    <row r="139" spans="1:12" x14ac:dyDescent="0.25">
      <c r="A139" s="7"/>
      <c r="C139" s="28"/>
      <c r="D139" s="26"/>
      <c r="E139" s="7"/>
    </row>
    <row r="140" spans="1:12" x14ac:dyDescent="0.25">
      <c r="A140" s="7" t="s">
        <v>376</v>
      </c>
      <c r="C140" s="28" t="s">
        <v>377</v>
      </c>
      <c r="D140" s="26" t="s">
        <v>183</v>
      </c>
      <c r="E140" s="7" t="s">
        <v>378</v>
      </c>
    </row>
    <row r="141" spans="1:12" x14ac:dyDescent="0.25">
      <c r="A141" s="7"/>
      <c r="C141" s="27" t="str">
        <f>B122</f>
        <v>01100111100010011000010000000110</v>
      </c>
      <c r="D141" s="16"/>
      <c r="E141" t="str">
        <f>B131</f>
        <v>00010111000000000101101000110111</v>
      </c>
    </row>
    <row r="142" spans="1:12" x14ac:dyDescent="0.25">
      <c r="A142" s="7"/>
      <c r="C142" s="28"/>
      <c r="D142" s="26"/>
      <c r="E142" s="7"/>
    </row>
    <row r="143" spans="1:12" x14ac:dyDescent="0.25">
      <c r="A143" s="7" t="s">
        <v>376</v>
      </c>
      <c r="B143" t="str">
        <f>_xlfn.BASE(MOD(_xlfn.DECIMAL(C141,2) + _xlfn.DECIMAL(E141,2), 4294967296), 2, 32)</f>
        <v>01111110100010011101111000111101</v>
      </c>
      <c r="C143" s="28"/>
      <c r="D143" s="26"/>
      <c r="E143" s="7"/>
    </row>
    <row r="144" spans="1:12" x14ac:dyDescent="0.25">
      <c r="A144" s="7" t="s">
        <v>375</v>
      </c>
      <c r="B144" t="str" cm="1">
        <f t="array" ref="B144">BitsToHex(B143)</f>
        <v>7E89DE3D</v>
      </c>
    </row>
    <row r="146" spans="1:13" x14ac:dyDescent="0.25">
      <c r="C146" s="27" t="s">
        <v>225</v>
      </c>
      <c r="E146" s="24" t="s">
        <v>8</v>
      </c>
      <c r="F146" s="24" t="s">
        <v>29</v>
      </c>
      <c r="G146" s="24" t="s">
        <v>30</v>
      </c>
      <c r="H146" s="24" t="s">
        <v>31</v>
      </c>
      <c r="I146" s="24" t="s">
        <v>221</v>
      </c>
      <c r="J146" s="24" t="s">
        <v>222</v>
      </c>
      <c r="K146" s="24" t="s">
        <v>34</v>
      </c>
      <c r="L146" s="24" t="s">
        <v>223</v>
      </c>
    </row>
    <row r="147" spans="1:13" x14ac:dyDescent="0.25">
      <c r="E147" s="24" t="str">
        <f>B144</f>
        <v>7E89DE3D</v>
      </c>
      <c r="F147" s="24" t="str">
        <f>E115</f>
        <v>D1B53868</v>
      </c>
      <c r="G147" s="24" t="str">
        <f>F115</f>
        <v>6611F152</v>
      </c>
      <c r="H147" s="24" t="str">
        <f>G115</f>
        <v>FB6DFBC2</v>
      </c>
      <c r="I147" s="24" t="str">
        <f>B138</f>
        <v>D1936A6D</v>
      </c>
      <c r="J147" s="25" t="str">
        <f>I115</f>
        <v>CE40EE68</v>
      </c>
      <c r="K147" s="24" t="str">
        <f>J115</f>
        <v>CFEF478B</v>
      </c>
      <c r="L147" s="24" t="str">
        <f>K115</f>
        <v>982D5617</v>
      </c>
    </row>
    <row r="148" spans="1:13" x14ac:dyDescent="0.25">
      <c r="A148" s="2"/>
      <c r="B148" s="2"/>
      <c r="C148" s="30" t="s">
        <v>379</v>
      </c>
      <c r="D148" s="2">
        <v>4</v>
      </c>
      <c r="E148" s="2"/>
      <c r="F148" s="2"/>
      <c r="G148" s="2"/>
      <c r="H148" s="2"/>
      <c r="I148" s="2"/>
      <c r="J148" s="2"/>
      <c r="K148" s="2"/>
      <c r="L148" s="2"/>
      <c r="M148" s="2"/>
    </row>
    <row r="149" spans="1:13" x14ac:dyDescent="0.25">
      <c r="D149" t="s">
        <v>380</v>
      </c>
      <c r="E149">
        <f>D148+1</f>
        <v>5</v>
      </c>
    </row>
    <row r="150" spans="1:13" x14ac:dyDescent="0.25">
      <c r="C150" s="27" t="s">
        <v>224</v>
      </c>
      <c r="E150" s="24" t="s">
        <v>8</v>
      </c>
      <c r="F150" s="24" t="s">
        <v>29</v>
      </c>
      <c r="G150" s="24" t="s">
        <v>30</v>
      </c>
      <c r="H150" s="24" t="s">
        <v>31</v>
      </c>
      <c r="I150" s="24" t="s">
        <v>221</v>
      </c>
      <c r="J150" s="24" t="s">
        <v>222</v>
      </c>
      <c r="K150" s="24" t="s">
        <v>34</v>
      </c>
      <c r="L150" s="24" t="s">
        <v>223</v>
      </c>
    </row>
    <row r="151" spans="1:13" x14ac:dyDescent="0.25">
      <c r="E151" s="24" t="str">
        <f t="shared" ref="E151:L151" si="4">E147</f>
        <v>7E89DE3D</v>
      </c>
      <c r="F151" s="24" t="str">
        <f t="shared" si="4"/>
        <v>D1B53868</v>
      </c>
      <c r="G151" s="24" t="str">
        <f t="shared" si="4"/>
        <v>6611F152</v>
      </c>
      <c r="H151" s="24" t="str">
        <f t="shared" si="4"/>
        <v>FB6DFBC2</v>
      </c>
      <c r="I151" s="25" t="str">
        <f t="shared" si="4"/>
        <v>D1936A6D</v>
      </c>
      <c r="J151" s="24" t="str">
        <f t="shared" si="4"/>
        <v>CE40EE68</v>
      </c>
      <c r="K151" s="24" t="str">
        <f t="shared" si="4"/>
        <v>CFEF478B</v>
      </c>
      <c r="L151" s="24" t="str">
        <f t="shared" si="4"/>
        <v>982D5617</v>
      </c>
    </row>
    <row r="153" spans="1:13" x14ac:dyDescent="0.25">
      <c r="A153" s="7" t="s">
        <v>363</v>
      </c>
      <c r="B153" s="7"/>
      <c r="C153" s="28" t="s">
        <v>223</v>
      </c>
      <c r="D153" s="26" t="s">
        <v>183</v>
      </c>
      <c r="E153" s="8" t="s">
        <v>365</v>
      </c>
      <c r="F153" s="26" t="s">
        <v>183</v>
      </c>
      <c r="G153" s="8" t="s">
        <v>366</v>
      </c>
      <c r="H153" s="26" t="s">
        <v>183</v>
      </c>
      <c r="I153" s="8" t="s">
        <v>367</v>
      </c>
      <c r="J153" s="26" t="s">
        <v>183</v>
      </c>
      <c r="K153" s="8" t="s">
        <v>368</v>
      </c>
    </row>
    <row r="154" spans="1:13" x14ac:dyDescent="0.25">
      <c r="A154" s="7"/>
    </row>
    <row r="155" spans="1:13" x14ac:dyDescent="0.25">
      <c r="A155" s="7"/>
      <c r="C155" s="27" t="str">
        <f>L151</f>
        <v>982D5617</v>
      </c>
      <c r="E155" t="str" cm="1">
        <f t="array" ref="E155">BSIG1_H(I151)</f>
        <v>3349492C</v>
      </c>
      <c r="G155" t="str" cm="1">
        <f t="array" ref="G155">CH_H(I151,J151,K151)</f>
        <v>CE6C6FEA</v>
      </c>
      <c r="I155" t="str" cm="1">
        <f t="array" ref="I155">INDEX(Folha3!$C$15:$J$22,IF(MOD(E149,8)=0,0,1)+INT(E149/8),1+MOD(E149-1,8))</f>
        <v>3956c25b</v>
      </c>
      <c r="K155" t="str" cm="1">
        <f t="array" ref="K155">INDEX(Folha3!$C$38:$BN$38,1,E149)</f>
        <v>00000000</v>
      </c>
    </row>
    <row r="156" spans="1:13" x14ac:dyDescent="0.25">
      <c r="A156" s="7" t="s">
        <v>370</v>
      </c>
      <c r="C156" s="27" t="str" cm="1">
        <f t="array" ref="C156">HexToBits(C155)</f>
        <v>10011000001011010101011000010111</v>
      </c>
      <c r="E156" t="str" cm="1">
        <f t="array" ref="E156">HexToBits(E155)</f>
        <v>00110011010010010100100100101100</v>
      </c>
      <c r="G156" t="str" cm="1">
        <f t="array" ref="G156">HexToBits(G155)</f>
        <v>11001110011011000110111111101010</v>
      </c>
      <c r="I156" t="str" cm="1">
        <f t="array" ref="I156">HexToBits(I155)</f>
        <v>00111001010101101100001001011011</v>
      </c>
      <c r="K156" t="str" cm="1">
        <f t="array" ref="K156">HexToBits(K155)</f>
        <v>00000000000000000000000000000000</v>
      </c>
    </row>
    <row r="157" spans="1:13" x14ac:dyDescent="0.25">
      <c r="A157" s="7"/>
    </row>
    <row r="158" spans="1:13" x14ac:dyDescent="0.25">
      <c r="A158" s="7" t="s">
        <v>364</v>
      </c>
      <c r="B158" t="str">
        <f>_xlfn.BASE(
  (_xlfn.DECIMAL(C156,2)+_xlfn.DECIMAL(E156,2)+_xlfn.DECIMAL(G156,2)+_xlfn.DECIMAL(I156,2)+_xlfn.DECIMAL(K156,2))
  - (INT((_xlfn.DECIMAL(C156,2)+_xlfn.DECIMAL(E156,2)+_xlfn.DECIMAL(G156,2)+_xlfn.DECIMAL(I156,2)+_xlfn.DECIMAL(K156,2)) / 4294967296) * 4294967296),
  2,
  32
)</f>
        <v>11010011001110011101000110001000</v>
      </c>
    </row>
    <row r="159" spans="1:13" x14ac:dyDescent="0.25">
      <c r="A159" s="7" t="s">
        <v>369</v>
      </c>
      <c r="B159" t="str" cm="1">
        <f t="array" ref="B159">BitsToHex(B158)</f>
        <v>D339D188</v>
      </c>
    </row>
    <row r="162" spans="1:12" x14ac:dyDescent="0.25">
      <c r="A162" s="7" t="s">
        <v>373</v>
      </c>
      <c r="B162" s="7"/>
      <c r="C162" s="29" t="s">
        <v>371</v>
      </c>
      <c r="D162" s="26" t="s">
        <v>183</v>
      </c>
      <c r="E162" s="8" t="s">
        <v>372</v>
      </c>
      <c r="J162" s="32"/>
    </row>
    <row r="163" spans="1:12" x14ac:dyDescent="0.25">
      <c r="A163" s="7"/>
    </row>
    <row r="164" spans="1:12" x14ac:dyDescent="0.25">
      <c r="A164" s="7"/>
      <c r="C164" s="27" t="str" cm="1">
        <f t="array" ref="C164">BSIG0_H(E151)</f>
        <v>8931763B</v>
      </c>
      <c r="E164" t="str" cm="1">
        <f t="array" ref="E164">MAJ_H(E151,F151,G151)</f>
        <v>7691F878</v>
      </c>
    </row>
    <row r="165" spans="1:12" x14ac:dyDescent="0.25">
      <c r="A165" s="7" t="s">
        <v>370</v>
      </c>
      <c r="C165" s="27" t="str" cm="1">
        <f t="array" ref="C165">HexToBits(C164)</f>
        <v>10001001001100010111011000111011</v>
      </c>
      <c r="E165" t="str" cm="1">
        <f t="array" ref="E165">HexToBits(E164)</f>
        <v>01110110100100011111100001111000</v>
      </c>
    </row>
    <row r="166" spans="1:12" x14ac:dyDescent="0.25">
      <c r="A166" s="7"/>
    </row>
    <row r="167" spans="1:12" x14ac:dyDescent="0.25">
      <c r="A167" s="7" t="s">
        <v>373</v>
      </c>
      <c r="B167" t="str">
        <f>_xlfn.BASE(MOD(_xlfn.DECIMAL(C165,2) + _xlfn.DECIMAL(E165,2), 4294967296), 2, 32)</f>
        <v>11111111110000110110111010110011</v>
      </c>
    </row>
    <row r="168" spans="1:12" x14ac:dyDescent="0.25">
      <c r="A168" s="7" t="s">
        <v>369</v>
      </c>
      <c r="B168" t="str" cm="1">
        <f t="array" ref="B168">BitsToHex(B167)</f>
        <v>FFC36EB3</v>
      </c>
    </row>
    <row r="169" spans="1:12" x14ac:dyDescent="0.25">
      <c r="A169" s="7"/>
    </row>
    <row r="170" spans="1:12" x14ac:dyDescent="0.25">
      <c r="A170" s="7" t="s">
        <v>374</v>
      </c>
      <c r="C170" s="28" t="s">
        <v>31</v>
      </c>
      <c r="D170" s="26" t="s">
        <v>183</v>
      </c>
      <c r="E170" s="7" t="s">
        <v>227</v>
      </c>
    </row>
    <row r="171" spans="1:12" x14ac:dyDescent="0.25">
      <c r="A171" s="7"/>
      <c r="C171" s="28"/>
      <c r="D171" s="26"/>
      <c r="E171" s="7"/>
      <c r="L171" s="16"/>
    </row>
    <row r="172" spans="1:12" x14ac:dyDescent="0.25">
      <c r="C172" s="27" t="str" cm="1">
        <f t="array" ref="C172">HexToBits(H151)</f>
        <v>11111011011011011111101111000010</v>
      </c>
      <c r="D172" s="26"/>
      <c r="E172" t="str">
        <f>B158</f>
        <v>11010011001110011101000110001000</v>
      </c>
    </row>
    <row r="173" spans="1:12" x14ac:dyDescent="0.25">
      <c r="A173" s="7" t="s">
        <v>374</v>
      </c>
      <c r="B173" t="str">
        <f>_xlfn.BASE(MOD(_xlfn.DECIMAL(C172,2) + _xlfn.DECIMAL(E172,2), 4294967296), 2, 32)</f>
        <v>11001110101001111100110101001010</v>
      </c>
      <c r="D173" s="16"/>
    </row>
    <row r="174" spans="1:12" x14ac:dyDescent="0.25">
      <c r="A174" s="7" t="s">
        <v>375</v>
      </c>
      <c r="B174" t="str" cm="1">
        <f t="array" ref="B174">BitsToHex(B173)</f>
        <v>CEA7CD4A</v>
      </c>
      <c r="C174" s="28"/>
      <c r="D174" s="26"/>
      <c r="E174" s="7"/>
    </row>
    <row r="175" spans="1:12" x14ac:dyDescent="0.25">
      <c r="A175" s="7"/>
      <c r="C175" s="28"/>
      <c r="D175" s="26"/>
      <c r="E175" s="7"/>
    </row>
    <row r="176" spans="1:12" x14ac:dyDescent="0.25">
      <c r="A176" s="7" t="s">
        <v>376</v>
      </c>
      <c r="C176" s="28" t="s">
        <v>377</v>
      </c>
      <c r="D176" s="26" t="s">
        <v>183</v>
      </c>
      <c r="E176" s="7" t="s">
        <v>378</v>
      </c>
    </row>
    <row r="177" spans="1:13" x14ac:dyDescent="0.25">
      <c r="A177" s="7"/>
      <c r="C177" s="27" t="str">
        <f>B158</f>
        <v>11010011001110011101000110001000</v>
      </c>
      <c r="D177" s="16"/>
      <c r="E177" t="str">
        <f>B167</f>
        <v>11111111110000110110111010110011</v>
      </c>
    </row>
    <row r="178" spans="1:13" x14ac:dyDescent="0.25">
      <c r="A178" s="7"/>
      <c r="C178" s="28"/>
      <c r="D178" s="26"/>
      <c r="E178" s="7"/>
    </row>
    <row r="179" spans="1:13" x14ac:dyDescent="0.25">
      <c r="A179" s="7" t="s">
        <v>376</v>
      </c>
      <c r="B179" t="str">
        <f>_xlfn.BASE(MOD(_xlfn.DECIMAL(C177,2) + _xlfn.DECIMAL(E177,2), 4294967296), 2, 32)</f>
        <v>11010010111111010100000000111011</v>
      </c>
      <c r="C179" s="28"/>
      <c r="D179" s="26"/>
      <c r="E179" s="7"/>
    </row>
    <row r="180" spans="1:13" x14ac:dyDescent="0.25">
      <c r="A180" s="7" t="s">
        <v>375</v>
      </c>
      <c r="B180" t="str" cm="1">
        <f t="array" ref="B180">BitsToHex(B179)</f>
        <v>D2FD403B</v>
      </c>
    </row>
    <row r="182" spans="1:13" x14ac:dyDescent="0.25">
      <c r="C182" s="27" t="s">
        <v>225</v>
      </c>
      <c r="E182" s="24" t="s">
        <v>8</v>
      </c>
      <c r="F182" s="24" t="s">
        <v>29</v>
      </c>
      <c r="G182" s="24" t="s">
        <v>30</v>
      </c>
      <c r="H182" s="24" t="s">
        <v>31</v>
      </c>
      <c r="I182" s="24" t="s">
        <v>221</v>
      </c>
      <c r="J182" s="24" t="s">
        <v>222</v>
      </c>
      <c r="K182" s="24" t="s">
        <v>34</v>
      </c>
      <c r="L182" s="24" t="s">
        <v>223</v>
      </c>
    </row>
    <row r="183" spans="1:13" x14ac:dyDescent="0.25">
      <c r="E183" s="24" t="str">
        <f>B180</f>
        <v>D2FD403B</v>
      </c>
      <c r="F183" s="24" t="str">
        <f>E151</f>
        <v>7E89DE3D</v>
      </c>
      <c r="G183" s="24" t="str">
        <f>F151</f>
        <v>D1B53868</v>
      </c>
      <c r="H183" s="24" t="str">
        <f>G151</f>
        <v>6611F152</v>
      </c>
      <c r="I183" s="24" t="str">
        <f>B174</f>
        <v>CEA7CD4A</v>
      </c>
      <c r="J183" s="25" t="str">
        <f>I151</f>
        <v>D1936A6D</v>
      </c>
      <c r="K183" s="24" t="str">
        <f>J151</f>
        <v>CE40EE68</v>
      </c>
      <c r="L183" s="24" t="str">
        <f>K151</f>
        <v>CFEF478B</v>
      </c>
    </row>
    <row r="184" spans="1:13" x14ac:dyDescent="0.25">
      <c r="A184" s="2"/>
      <c r="B184" s="2"/>
      <c r="C184" s="30" t="s">
        <v>379</v>
      </c>
      <c r="D184" s="2">
        <v>5</v>
      </c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D185" t="s">
        <v>380</v>
      </c>
      <c r="E185">
        <f>D184+1</f>
        <v>6</v>
      </c>
    </row>
    <row r="186" spans="1:13" x14ac:dyDescent="0.25">
      <c r="C186" s="27" t="s">
        <v>224</v>
      </c>
      <c r="E186" s="24" t="s">
        <v>8</v>
      </c>
      <c r="F186" s="24" t="s">
        <v>29</v>
      </c>
      <c r="G186" s="24" t="s">
        <v>30</v>
      </c>
      <c r="H186" s="24" t="s">
        <v>31</v>
      </c>
      <c r="I186" s="24" t="s">
        <v>221</v>
      </c>
      <c r="J186" s="24" t="s">
        <v>222</v>
      </c>
      <c r="K186" s="24" t="s">
        <v>34</v>
      </c>
      <c r="L186" s="24" t="s">
        <v>223</v>
      </c>
    </row>
    <row r="187" spans="1:13" x14ac:dyDescent="0.25">
      <c r="E187" s="24" t="str">
        <f t="shared" ref="E187:L187" si="5">E183</f>
        <v>D2FD403B</v>
      </c>
      <c r="F187" s="24" t="str">
        <f t="shared" si="5"/>
        <v>7E89DE3D</v>
      </c>
      <c r="G187" s="24" t="str">
        <f t="shared" si="5"/>
        <v>D1B53868</v>
      </c>
      <c r="H187" s="24" t="str">
        <f t="shared" si="5"/>
        <v>6611F152</v>
      </c>
      <c r="I187" s="25" t="str">
        <f t="shared" si="5"/>
        <v>CEA7CD4A</v>
      </c>
      <c r="J187" s="24" t="str">
        <f t="shared" si="5"/>
        <v>D1936A6D</v>
      </c>
      <c r="K187" s="24" t="str">
        <f t="shared" si="5"/>
        <v>CE40EE68</v>
      </c>
      <c r="L187" s="24" t="str">
        <f t="shared" si="5"/>
        <v>CFEF478B</v>
      </c>
    </row>
    <row r="189" spans="1:13" x14ac:dyDescent="0.25">
      <c r="A189" s="7" t="s">
        <v>363</v>
      </c>
      <c r="B189" s="7"/>
      <c r="C189" s="28" t="s">
        <v>223</v>
      </c>
      <c r="D189" s="26" t="s">
        <v>183</v>
      </c>
      <c r="E189" s="8" t="s">
        <v>365</v>
      </c>
      <c r="F189" s="26" t="s">
        <v>183</v>
      </c>
      <c r="G189" s="8" t="s">
        <v>366</v>
      </c>
      <c r="H189" s="26" t="s">
        <v>183</v>
      </c>
      <c r="I189" s="8" t="s">
        <v>367</v>
      </c>
      <c r="J189" s="26" t="s">
        <v>183</v>
      </c>
      <c r="K189" s="8" t="s">
        <v>368</v>
      </c>
    </row>
    <row r="190" spans="1:13" x14ac:dyDescent="0.25">
      <c r="A190" s="7"/>
    </row>
    <row r="191" spans="1:13" x14ac:dyDescent="0.25">
      <c r="A191" s="7"/>
      <c r="C191" s="27" t="str">
        <f>L187</f>
        <v>CFEF478B</v>
      </c>
      <c r="E191" t="str" cm="1">
        <f t="array" ref="E191">BSIG1_H(I187)</f>
        <v>D185EEAB</v>
      </c>
      <c r="G191" t="str" cm="1">
        <f t="array" ref="G191">CH_H(I187,J187,K187)</f>
        <v>C0C36A68</v>
      </c>
      <c r="I191" t="str" cm="1">
        <f t="array" ref="I191">INDEX(Folha3!$C$15:$J$22,IF(MOD(E185,8)=0,0,1)+INT(E185/8),1+MOD(E185-1,8))</f>
        <v>59f111f1</v>
      </c>
      <c r="K191" t="str" cm="1">
        <f t="array" ref="K191">INDEX(Folha3!$C$38:$BN$38,1,E185)</f>
        <v>00000000</v>
      </c>
    </row>
    <row r="192" spans="1:13" x14ac:dyDescent="0.25">
      <c r="A192" s="7" t="s">
        <v>370</v>
      </c>
      <c r="C192" s="27" t="str" cm="1">
        <f t="array" ref="C192">HexToBits(C191)</f>
        <v>11001111111011110100011110001011</v>
      </c>
      <c r="E192" t="str" cm="1">
        <f t="array" ref="E192">HexToBits(E191)</f>
        <v>11010001100001011110111010101011</v>
      </c>
      <c r="G192" t="str" cm="1">
        <f t="array" ref="G192">HexToBits(G191)</f>
        <v>11000000110000110110101001101000</v>
      </c>
      <c r="I192" t="str" cm="1">
        <f t="array" ref="I192">HexToBits(I191)</f>
        <v>01011001111100010001000111110001</v>
      </c>
      <c r="K192" t="str" cm="1">
        <f t="array" ref="K192">HexToBits(K191)</f>
        <v>00000000000000000000000000000000</v>
      </c>
    </row>
    <row r="193" spans="1:12" x14ac:dyDescent="0.25">
      <c r="A193" s="7"/>
    </row>
    <row r="194" spans="1:12" x14ac:dyDescent="0.25">
      <c r="A194" s="7" t="s">
        <v>364</v>
      </c>
      <c r="B194" t="str">
        <f>_xlfn.BASE(
  (_xlfn.DECIMAL(C192,2)+_xlfn.DECIMAL(E192,2)+_xlfn.DECIMAL(G192,2)+_xlfn.DECIMAL(I192,2)+_xlfn.DECIMAL(K192,2))
  - (INT((_xlfn.DECIMAL(C192,2)+_xlfn.DECIMAL(E192,2)+_xlfn.DECIMAL(G192,2)+_xlfn.DECIMAL(I192,2)+_xlfn.DECIMAL(K192,2)) / 4294967296) * 4294967296),
  2,
  32
)</f>
        <v>10111100001010011011001010001111</v>
      </c>
    </row>
    <row r="195" spans="1:12" x14ac:dyDescent="0.25">
      <c r="A195" s="7" t="s">
        <v>369</v>
      </c>
      <c r="B195" t="str" cm="1">
        <f t="array" ref="B195">BitsToHex(B194)</f>
        <v>BC29B28F</v>
      </c>
    </row>
    <row r="198" spans="1:12" x14ac:dyDescent="0.25">
      <c r="A198" s="7" t="s">
        <v>373</v>
      </c>
      <c r="B198" s="7"/>
      <c r="C198" s="29" t="s">
        <v>371</v>
      </c>
      <c r="D198" s="26" t="s">
        <v>183</v>
      </c>
      <c r="E198" s="8" t="s">
        <v>372</v>
      </c>
      <c r="J198" s="32"/>
    </row>
    <row r="199" spans="1:12" x14ac:dyDescent="0.25">
      <c r="A199" s="7"/>
    </row>
    <row r="200" spans="1:12" x14ac:dyDescent="0.25">
      <c r="A200" s="7"/>
      <c r="C200" s="27" t="str" cm="1">
        <f t="array" ref="C200">BSIG0_H(E187)</f>
        <v>006128AF</v>
      </c>
      <c r="E200" t="str" cm="1">
        <f t="array" ref="E200">MAJ_H(E187,F187,G187)</f>
        <v>D2BD5839</v>
      </c>
    </row>
    <row r="201" spans="1:12" x14ac:dyDescent="0.25">
      <c r="A201" s="7" t="s">
        <v>370</v>
      </c>
      <c r="C201" s="27" t="str" cm="1">
        <f t="array" ref="C201">HexToBits(C200)</f>
        <v>00000000011000010010100010101111</v>
      </c>
      <c r="E201" t="str" cm="1">
        <f t="array" ref="E201">HexToBits(E200)</f>
        <v>11010010101111010101100000111001</v>
      </c>
    </row>
    <row r="202" spans="1:12" x14ac:dyDescent="0.25">
      <c r="A202" s="7"/>
    </row>
    <row r="203" spans="1:12" x14ac:dyDescent="0.25">
      <c r="A203" s="7" t="s">
        <v>373</v>
      </c>
      <c r="B203" t="str">
        <f>_xlfn.BASE(MOD(_xlfn.DECIMAL(C201,2) + _xlfn.DECIMAL(E201,2), 4294967296), 2, 32)</f>
        <v>11010011000111101000000011101000</v>
      </c>
    </row>
    <row r="204" spans="1:12" x14ac:dyDescent="0.25">
      <c r="A204" s="7" t="s">
        <v>369</v>
      </c>
      <c r="B204" t="str" cm="1">
        <f t="array" ref="B204">BitsToHex(B203)</f>
        <v>D31E80E8</v>
      </c>
    </row>
    <row r="205" spans="1:12" x14ac:dyDescent="0.25">
      <c r="A205" s="7"/>
    </row>
    <row r="206" spans="1:12" x14ac:dyDescent="0.25">
      <c r="A206" s="7" t="s">
        <v>374</v>
      </c>
      <c r="C206" s="28" t="s">
        <v>31</v>
      </c>
      <c r="D206" s="26" t="s">
        <v>183</v>
      </c>
      <c r="E206" s="7" t="s">
        <v>227</v>
      </c>
    </row>
    <row r="207" spans="1:12" x14ac:dyDescent="0.25">
      <c r="A207" s="7"/>
      <c r="C207" s="28"/>
      <c r="D207" s="26"/>
      <c r="E207" s="7"/>
      <c r="L207" s="16"/>
    </row>
    <row r="208" spans="1:12" x14ac:dyDescent="0.25">
      <c r="C208" s="27" t="str" cm="1">
        <f t="array" ref="C208">HexToBits(H187)</f>
        <v>01100110000100011111000101010010</v>
      </c>
      <c r="D208" s="26"/>
      <c r="E208" t="str">
        <f>B194</f>
        <v>10111100001010011011001010001111</v>
      </c>
    </row>
    <row r="209" spans="1:13" x14ac:dyDescent="0.25">
      <c r="A209" s="7" t="s">
        <v>374</v>
      </c>
      <c r="B209" t="str">
        <f>_xlfn.BASE(MOD(_xlfn.DECIMAL(C208,2) + _xlfn.DECIMAL(E208,2), 4294967296), 2, 32)</f>
        <v>00100010001110111010001111100001</v>
      </c>
      <c r="D209" s="16"/>
    </row>
    <row r="210" spans="1:13" x14ac:dyDescent="0.25">
      <c r="A210" s="7" t="s">
        <v>375</v>
      </c>
      <c r="B210" t="str" cm="1">
        <f t="array" ref="B210">BitsToHex(B209)</f>
        <v>223BA3E1</v>
      </c>
      <c r="C210" s="28"/>
      <c r="D210" s="26"/>
      <c r="E210" s="7"/>
    </row>
    <row r="211" spans="1:13" x14ac:dyDescent="0.25">
      <c r="A211" s="7"/>
      <c r="C211" s="28"/>
      <c r="D211" s="26"/>
      <c r="E211" s="7"/>
    </row>
    <row r="212" spans="1:13" x14ac:dyDescent="0.25">
      <c r="A212" s="7" t="s">
        <v>376</v>
      </c>
      <c r="C212" s="28" t="s">
        <v>377</v>
      </c>
      <c r="D212" s="26" t="s">
        <v>183</v>
      </c>
      <c r="E212" s="7" t="s">
        <v>378</v>
      </c>
    </row>
    <row r="213" spans="1:13" x14ac:dyDescent="0.25">
      <c r="A213" s="7"/>
      <c r="C213" s="27" t="str">
        <f>B194</f>
        <v>10111100001010011011001010001111</v>
      </c>
      <c r="D213" s="16"/>
      <c r="E213" t="str">
        <f>B203</f>
        <v>11010011000111101000000011101000</v>
      </c>
    </row>
    <row r="214" spans="1:13" x14ac:dyDescent="0.25">
      <c r="A214" s="7"/>
      <c r="C214" s="28"/>
      <c r="D214" s="26"/>
      <c r="E214" s="7"/>
    </row>
    <row r="215" spans="1:13" x14ac:dyDescent="0.25">
      <c r="A215" s="7" t="s">
        <v>376</v>
      </c>
      <c r="B215" t="str">
        <f>_xlfn.BASE(MOD(_xlfn.DECIMAL(C213,2) + _xlfn.DECIMAL(E213,2), 4294967296), 2, 32)</f>
        <v>10001111010010000011001101110111</v>
      </c>
      <c r="C215" s="28"/>
      <c r="D215" s="26"/>
      <c r="E215" s="7"/>
    </row>
    <row r="216" spans="1:13" x14ac:dyDescent="0.25">
      <c r="A216" s="7" t="s">
        <v>375</v>
      </c>
      <c r="B216" t="str" cm="1">
        <f t="array" ref="B216">BitsToHex(B215)</f>
        <v>8F483377</v>
      </c>
    </row>
    <row r="218" spans="1:13" x14ac:dyDescent="0.25">
      <c r="C218" s="27" t="s">
        <v>225</v>
      </c>
      <c r="E218" s="24" t="s">
        <v>8</v>
      </c>
      <c r="F218" s="24" t="s">
        <v>29</v>
      </c>
      <c r="G218" s="24" t="s">
        <v>30</v>
      </c>
      <c r="H218" s="24" t="s">
        <v>31</v>
      </c>
      <c r="I218" s="24" t="s">
        <v>221</v>
      </c>
      <c r="J218" s="24" t="s">
        <v>222</v>
      </c>
      <c r="K218" s="24" t="s">
        <v>34</v>
      </c>
      <c r="L218" s="24" t="s">
        <v>223</v>
      </c>
    </row>
    <row r="219" spans="1:13" x14ac:dyDescent="0.25">
      <c r="E219" s="24" t="str">
        <f>B216</f>
        <v>8F483377</v>
      </c>
      <c r="F219" s="24" t="str">
        <f>E187</f>
        <v>D2FD403B</v>
      </c>
      <c r="G219" s="24" t="str">
        <f>F187</f>
        <v>7E89DE3D</v>
      </c>
      <c r="H219" s="24" t="str">
        <f>G187</f>
        <v>D1B53868</v>
      </c>
      <c r="I219" s="24" t="str">
        <f>B210</f>
        <v>223BA3E1</v>
      </c>
      <c r="J219" s="25" t="str">
        <f>I187</f>
        <v>CEA7CD4A</v>
      </c>
      <c r="K219" s="24" t="str">
        <f>J187</f>
        <v>D1936A6D</v>
      </c>
      <c r="L219" s="24" t="str">
        <f>K187</f>
        <v>CE40EE68</v>
      </c>
    </row>
    <row r="220" spans="1:13" x14ac:dyDescent="0.25">
      <c r="A220" s="2"/>
      <c r="B220" s="2"/>
      <c r="C220" s="30" t="s">
        <v>379</v>
      </c>
      <c r="D220" s="2">
        <v>6</v>
      </c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D221" t="s">
        <v>380</v>
      </c>
      <c r="E221">
        <f>D220+1</f>
        <v>7</v>
      </c>
    </row>
    <row r="222" spans="1:13" x14ac:dyDescent="0.25">
      <c r="C222" s="27" t="s">
        <v>224</v>
      </c>
      <c r="E222" s="24" t="s">
        <v>8</v>
      </c>
      <c r="F222" s="24" t="s">
        <v>29</v>
      </c>
      <c r="G222" s="24" t="s">
        <v>30</v>
      </c>
      <c r="H222" s="24" t="s">
        <v>31</v>
      </c>
      <c r="I222" s="24" t="s">
        <v>221</v>
      </c>
      <c r="J222" s="24" t="s">
        <v>222</v>
      </c>
      <c r="K222" s="24" t="s">
        <v>34</v>
      </c>
      <c r="L222" s="24" t="s">
        <v>223</v>
      </c>
    </row>
    <row r="223" spans="1:13" x14ac:dyDescent="0.25">
      <c r="E223" s="24" t="str">
        <f t="shared" ref="E223:L223" si="6">E219</f>
        <v>8F483377</v>
      </c>
      <c r="F223" s="24" t="str">
        <f t="shared" si="6"/>
        <v>D2FD403B</v>
      </c>
      <c r="G223" s="24" t="str">
        <f t="shared" si="6"/>
        <v>7E89DE3D</v>
      </c>
      <c r="H223" s="24" t="str">
        <f t="shared" si="6"/>
        <v>D1B53868</v>
      </c>
      <c r="I223" s="25" t="str">
        <f t="shared" si="6"/>
        <v>223BA3E1</v>
      </c>
      <c r="J223" s="24" t="str">
        <f t="shared" si="6"/>
        <v>CEA7CD4A</v>
      </c>
      <c r="K223" s="24" t="str">
        <f t="shared" si="6"/>
        <v>D1936A6D</v>
      </c>
      <c r="L223" s="24" t="str">
        <f t="shared" si="6"/>
        <v>CE40EE68</v>
      </c>
    </row>
    <row r="225" spans="1:11" x14ac:dyDescent="0.25">
      <c r="A225" s="7" t="s">
        <v>363</v>
      </c>
      <c r="B225" s="7"/>
      <c r="C225" s="28" t="s">
        <v>223</v>
      </c>
      <c r="D225" s="26" t="s">
        <v>183</v>
      </c>
      <c r="E225" s="8" t="s">
        <v>365</v>
      </c>
      <c r="F225" s="26" t="s">
        <v>183</v>
      </c>
      <c r="G225" s="8" t="s">
        <v>366</v>
      </c>
      <c r="H225" s="26" t="s">
        <v>183</v>
      </c>
      <c r="I225" s="8" t="s">
        <v>367</v>
      </c>
      <c r="J225" s="26" t="s">
        <v>183</v>
      </c>
      <c r="K225" s="8" t="s">
        <v>368</v>
      </c>
    </row>
    <row r="226" spans="1:11" x14ac:dyDescent="0.25">
      <c r="A226" s="7"/>
    </row>
    <row r="227" spans="1:11" x14ac:dyDescent="0.25">
      <c r="A227" s="7"/>
      <c r="C227" s="27" t="str">
        <f>L223</f>
        <v>CE40EE68</v>
      </c>
      <c r="E227" t="str" cm="1">
        <f t="array" ref="E227">BSIG1_H(I223)</f>
        <v>E57D596A</v>
      </c>
      <c r="G227" t="str" cm="1">
        <f t="array" ref="G227">CH_H(I223,J223,K223)</f>
        <v>D3A3C94C</v>
      </c>
      <c r="I227" t="str" cm="1">
        <f t="array" ref="I227">INDEX(Folha3!$C$15:$J$22,IF(MOD(E221,8)=0,0,1)+INT(E221/8),1+MOD(E221-1,8))</f>
        <v>923f82a4</v>
      </c>
      <c r="K227" t="str" cm="1">
        <f t="array" ref="K227">INDEX(Folha3!$C$38:$BN$38,1,E221)</f>
        <v>00000000</v>
      </c>
    </row>
    <row r="228" spans="1:11" x14ac:dyDescent="0.25">
      <c r="A228" s="7" t="s">
        <v>370</v>
      </c>
      <c r="C228" s="27" t="str" cm="1">
        <f t="array" ref="C228">HexToBits(C227)</f>
        <v>11001110010000001110111001101000</v>
      </c>
      <c r="E228" t="str" cm="1">
        <f t="array" ref="E228">HexToBits(E227)</f>
        <v>11100101011111010101100101101010</v>
      </c>
      <c r="G228" t="str" cm="1">
        <f t="array" ref="G228">HexToBits(G227)</f>
        <v>11010011101000111100100101001100</v>
      </c>
      <c r="I228" t="str" cm="1">
        <f t="array" ref="I228">HexToBits(I227)</f>
        <v>10010010001111111000001010100100</v>
      </c>
      <c r="K228" t="str" cm="1">
        <f t="array" ref="K228">HexToBits(K227)</f>
        <v>00000000000000000000000000000000</v>
      </c>
    </row>
    <row r="229" spans="1:11" x14ac:dyDescent="0.25">
      <c r="A229" s="7"/>
    </row>
    <row r="230" spans="1:11" x14ac:dyDescent="0.25">
      <c r="A230" s="7" t="s">
        <v>364</v>
      </c>
      <c r="B230" t="str">
        <f>_xlfn.BASE(
  (_xlfn.DECIMAL(C228,2)+_xlfn.DECIMAL(E228,2)+_xlfn.DECIMAL(G228,2)+_xlfn.DECIMAL(I228,2)+_xlfn.DECIMAL(K228,2))
  - (INT((_xlfn.DECIMAL(C228,2)+_xlfn.DECIMAL(E228,2)+_xlfn.DECIMAL(G228,2)+_xlfn.DECIMAL(I228,2)+_xlfn.DECIMAL(K228,2)) / 4294967296) * 4294967296),
  2,
  32
)</f>
        <v>00011001101000011001001111000010</v>
      </c>
    </row>
    <row r="231" spans="1:11" x14ac:dyDescent="0.25">
      <c r="A231" s="7" t="s">
        <v>369</v>
      </c>
      <c r="B231" t="str" cm="1">
        <f t="array" ref="B231">BitsToHex(B230)</f>
        <v>19A193C2</v>
      </c>
    </row>
    <row r="234" spans="1:11" x14ac:dyDescent="0.25">
      <c r="A234" s="7" t="s">
        <v>373</v>
      </c>
      <c r="B234" s="7"/>
      <c r="C234" s="29" t="s">
        <v>371</v>
      </c>
      <c r="D234" s="26" t="s">
        <v>183</v>
      </c>
      <c r="E234" s="8" t="s">
        <v>372</v>
      </c>
      <c r="J234" s="32"/>
    </row>
    <row r="235" spans="1:11" x14ac:dyDescent="0.25">
      <c r="A235" s="7"/>
    </row>
    <row r="236" spans="1:11" x14ac:dyDescent="0.25">
      <c r="A236" s="7"/>
      <c r="C236" s="27" t="str" cm="1">
        <f t="array" ref="C236">BSIG0_H(E223)</f>
        <v>58A3A8A1</v>
      </c>
      <c r="E236" t="str" cm="1">
        <f t="array" ref="E236">MAJ_H(E223,F223,G223)</f>
        <v>DEC9523F</v>
      </c>
    </row>
    <row r="237" spans="1:11" x14ac:dyDescent="0.25">
      <c r="A237" s="7" t="s">
        <v>370</v>
      </c>
      <c r="C237" s="27" t="str" cm="1">
        <f t="array" ref="C237">HexToBits(C236)</f>
        <v>01011000101000111010100010100001</v>
      </c>
      <c r="E237" t="str" cm="1">
        <f t="array" ref="E237">HexToBits(E236)</f>
        <v>11011110110010010101001000111111</v>
      </c>
    </row>
    <row r="238" spans="1:11" x14ac:dyDescent="0.25">
      <c r="A238" s="7"/>
    </row>
    <row r="239" spans="1:11" x14ac:dyDescent="0.25">
      <c r="A239" s="7" t="s">
        <v>373</v>
      </c>
      <c r="B239" t="str">
        <f>_xlfn.BASE(MOD(_xlfn.DECIMAL(C237,2) + _xlfn.DECIMAL(E237,2), 4294967296), 2, 32)</f>
        <v>00110111011011001111101011100000</v>
      </c>
    </row>
    <row r="240" spans="1:11" x14ac:dyDescent="0.25">
      <c r="A240" s="7" t="s">
        <v>369</v>
      </c>
      <c r="B240" t="str" cm="1">
        <f t="array" ref="B240">BitsToHex(B239)</f>
        <v>376CFAE0</v>
      </c>
    </row>
    <row r="241" spans="1:13" x14ac:dyDescent="0.25">
      <c r="A241" s="7"/>
    </row>
    <row r="242" spans="1:13" x14ac:dyDescent="0.25">
      <c r="A242" s="7" t="s">
        <v>374</v>
      </c>
      <c r="C242" s="28" t="s">
        <v>31</v>
      </c>
      <c r="D242" s="26" t="s">
        <v>183</v>
      </c>
      <c r="E242" s="7" t="s">
        <v>227</v>
      </c>
    </row>
    <row r="243" spans="1:13" x14ac:dyDescent="0.25">
      <c r="A243" s="7"/>
      <c r="C243" s="28"/>
      <c r="D243" s="26"/>
      <c r="E243" s="7"/>
      <c r="L243" s="16"/>
    </row>
    <row r="244" spans="1:13" x14ac:dyDescent="0.25">
      <c r="C244" s="27" t="str" cm="1">
        <f t="array" ref="C244">HexToBits(H223)</f>
        <v>11010001101101010011100001101000</v>
      </c>
      <c r="D244" s="26"/>
      <c r="E244" t="str">
        <f>B230</f>
        <v>00011001101000011001001111000010</v>
      </c>
    </row>
    <row r="245" spans="1:13" x14ac:dyDescent="0.25">
      <c r="A245" s="7" t="s">
        <v>374</v>
      </c>
      <c r="B245" t="str">
        <f>_xlfn.BASE(MOD(_xlfn.DECIMAL(C244,2) + _xlfn.DECIMAL(E244,2), 4294967296), 2, 32)</f>
        <v>11101011010101101100110000101010</v>
      </c>
      <c r="D245" s="16"/>
    </row>
    <row r="246" spans="1:13" x14ac:dyDescent="0.25">
      <c r="A246" s="7" t="s">
        <v>375</v>
      </c>
      <c r="B246" t="str" cm="1">
        <f t="array" ref="B246">BitsToHex(B245)</f>
        <v>EB56CC2A</v>
      </c>
      <c r="C246" s="28"/>
      <c r="D246" s="26"/>
      <c r="E246" s="7"/>
    </row>
    <row r="247" spans="1:13" x14ac:dyDescent="0.25">
      <c r="A247" s="7"/>
      <c r="C247" s="28"/>
      <c r="D247" s="26"/>
      <c r="E247" s="7"/>
    </row>
    <row r="248" spans="1:13" x14ac:dyDescent="0.25">
      <c r="A248" s="7" t="s">
        <v>376</v>
      </c>
      <c r="C248" s="28" t="s">
        <v>377</v>
      </c>
      <c r="D248" s="26" t="s">
        <v>183</v>
      </c>
      <c r="E248" s="7" t="s">
        <v>378</v>
      </c>
    </row>
    <row r="249" spans="1:13" x14ac:dyDescent="0.25">
      <c r="A249" s="7"/>
      <c r="C249" s="27" t="str">
        <f>B230</f>
        <v>00011001101000011001001111000010</v>
      </c>
      <c r="D249" s="16"/>
      <c r="E249" t="str">
        <f>B239</f>
        <v>00110111011011001111101011100000</v>
      </c>
    </row>
    <row r="250" spans="1:13" x14ac:dyDescent="0.25">
      <c r="A250" s="7"/>
      <c r="C250" s="28"/>
      <c r="D250" s="26"/>
      <c r="E250" s="7"/>
    </row>
    <row r="251" spans="1:13" x14ac:dyDescent="0.25">
      <c r="A251" s="7" t="s">
        <v>376</v>
      </c>
      <c r="B251" t="str">
        <f>_xlfn.BASE(MOD(_xlfn.DECIMAL(C249,2) + _xlfn.DECIMAL(E249,2), 4294967296), 2, 32)</f>
        <v>01010001000011101000111010100010</v>
      </c>
      <c r="C251" s="28"/>
      <c r="D251" s="26"/>
      <c r="E251" s="7"/>
    </row>
    <row r="252" spans="1:13" x14ac:dyDescent="0.25">
      <c r="A252" s="7" t="s">
        <v>375</v>
      </c>
      <c r="B252" t="str" cm="1">
        <f t="array" ref="B252">BitsToHex(B251)</f>
        <v>510E8EA2</v>
      </c>
    </row>
    <row r="254" spans="1:13" x14ac:dyDescent="0.25">
      <c r="C254" s="27" t="s">
        <v>225</v>
      </c>
      <c r="E254" s="24" t="s">
        <v>8</v>
      </c>
      <c r="F254" s="24" t="s">
        <v>29</v>
      </c>
      <c r="G254" s="24" t="s">
        <v>30</v>
      </c>
      <c r="H254" s="24" t="s">
        <v>31</v>
      </c>
      <c r="I254" s="24" t="s">
        <v>221</v>
      </c>
      <c r="J254" s="24" t="s">
        <v>222</v>
      </c>
      <c r="K254" s="24" t="s">
        <v>34</v>
      </c>
      <c r="L254" s="24" t="s">
        <v>223</v>
      </c>
    </row>
    <row r="255" spans="1:13" x14ac:dyDescent="0.25">
      <c r="E255" s="24" t="str">
        <f>B252</f>
        <v>510E8EA2</v>
      </c>
      <c r="F255" s="24" t="str">
        <f>E223</f>
        <v>8F483377</v>
      </c>
      <c r="G255" s="24" t="str">
        <f>F223</f>
        <v>D2FD403B</v>
      </c>
      <c r="H255" s="24" t="str">
        <f>G223</f>
        <v>7E89DE3D</v>
      </c>
      <c r="I255" s="24" t="str">
        <f>B246</f>
        <v>EB56CC2A</v>
      </c>
      <c r="J255" s="25" t="str">
        <f>I223</f>
        <v>223BA3E1</v>
      </c>
      <c r="K255" s="24" t="str">
        <f>J223</f>
        <v>CEA7CD4A</v>
      </c>
      <c r="L255" s="24" t="str">
        <f>K223</f>
        <v>D1936A6D</v>
      </c>
    </row>
    <row r="256" spans="1:13" x14ac:dyDescent="0.25">
      <c r="A256" s="2"/>
      <c r="B256" s="2"/>
      <c r="C256" s="30" t="s">
        <v>379</v>
      </c>
      <c r="D256" s="2">
        <v>7</v>
      </c>
      <c r="E256" s="2"/>
      <c r="F256" s="2"/>
      <c r="G256" s="2"/>
      <c r="H256" s="2"/>
      <c r="I256" s="2"/>
      <c r="J256" s="2"/>
      <c r="K256" s="2"/>
      <c r="L256" s="2"/>
      <c r="M256" s="2"/>
    </row>
    <row r="257" spans="1:12" x14ac:dyDescent="0.25">
      <c r="D257" t="s">
        <v>380</v>
      </c>
      <c r="E257">
        <f>D256+1</f>
        <v>8</v>
      </c>
    </row>
    <row r="258" spans="1:12" x14ac:dyDescent="0.25">
      <c r="C258" s="27" t="s">
        <v>224</v>
      </c>
      <c r="E258" s="24" t="s">
        <v>8</v>
      </c>
      <c r="F258" s="24" t="s">
        <v>29</v>
      </c>
      <c r="G258" s="24" t="s">
        <v>30</v>
      </c>
      <c r="H258" s="24" t="s">
        <v>31</v>
      </c>
      <c r="I258" s="24" t="s">
        <v>221</v>
      </c>
      <c r="J258" s="24" t="s">
        <v>222</v>
      </c>
      <c r="K258" s="24" t="s">
        <v>34</v>
      </c>
      <c r="L258" s="24" t="s">
        <v>223</v>
      </c>
    </row>
    <row r="259" spans="1:12" x14ac:dyDescent="0.25">
      <c r="E259" s="24" t="str">
        <f t="shared" ref="E259:L259" si="7">E255</f>
        <v>510E8EA2</v>
      </c>
      <c r="F259" s="24" t="str">
        <f t="shared" si="7"/>
        <v>8F483377</v>
      </c>
      <c r="G259" s="24" t="str">
        <f t="shared" si="7"/>
        <v>D2FD403B</v>
      </c>
      <c r="H259" s="24" t="str">
        <f t="shared" si="7"/>
        <v>7E89DE3D</v>
      </c>
      <c r="I259" s="25" t="str">
        <f t="shared" si="7"/>
        <v>EB56CC2A</v>
      </c>
      <c r="J259" s="24" t="str">
        <f t="shared" si="7"/>
        <v>223BA3E1</v>
      </c>
      <c r="K259" s="24" t="str">
        <f t="shared" si="7"/>
        <v>CEA7CD4A</v>
      </c>
      <c r="L259" s="24" t="str">
        <f t="shared" si="7"/>
        <v>D1936A6D</v>
      </c>
    </row>
    <row r="261" spans="1:12" x14ac:dyDescent="0.25">
      <c r="A261" s="7" t="s">
        <v>363</v>
      </c>
      <c r="B261" s="7"/>
      <c r="C261" s="28" t="s">
        <v>223</v>
      </c>
      <c r="D261" s="26" t="s">
        <v>183</v>
      </c>
      <c r="E261" s="8" t="s">
        <v>365</v>
      </c>
      <c r="F261" s="26" t="s">
        <v>183</v>
      </c>
      <c r="G261" s="8" t="s">
        <v>366</v>
      </c>
      <c r="H261" s="26" t="s">
        <v>183</v>
      </c>
      <c r="I261" s="8" t="s">
        <v>367</v>
      </c>
      <c r="J261" s="26" t="s">
        <v>183</v>
      </c>
      <c r="K261" s="8" t="s">
        <v>368</v>
      </c>
    </row>
    <row r="262" spans="1:12" x14ac:dyDescent="0.25">
      <c r="A262" s="7"/>
    </row>
    <row r="263" spans="1:12" x14ac:dyDescent="0.25">
      <c r="A263" s="7"/>
      <c r="C263" s="27" t="str">
        <f>L259</f>
        <v>D1936A6D</v>
      </c>
      <c r="E263" t="str" cm="1">
        <f t="array" ref="E263">BSIG1_H(I259)</f>
        <v>8596249C</v>
      </c>
      <c r="G263" t="str" cm="1">
        <f t="array" ref="G263">CH_H(I259,J259,K259)</f>
        <v>26B38160</v>
      </c>
      <c r="I263" t="str" cm="1">
        <f t="array" ref="I263">INDEX(Folha3!$C$15:$J$22,IF(MOD(E257,8)=0,0,1)+INT(E257/8),1+MOD(E257-1,8))</f>
        <v>ab1c5ed5</v>
      </c>
      <c r="K263" t="str" cm="1">
        <f t="array" ref="K263">INDEX(Folha3!$C$38:$BN$38,1,E257)</f>
        <v>00000000</v>
      </c>
    </row>
    <row r="264" spans="1:12" x14ac:dyDescent="0.25">
      <c r="A264" s="7" t="s">
        <v>370</v>
      </c>
      <c r="C264" s="27" t="str" cm="1">
        <f t="array" ref="C264">HexToBits(C263)</f>
        <v>11010001100100110110101001101101</v>
      </c>
      <c r="E264" t="str" cm="1">
        <f t="array" ref="E264">HexToBits(E263)</f>
        <v>10000101100101100010010010011100</v>
      </c>
      <c r="G264" t="str" cm="1">
        <f t="array" ref="G264">HexToBits(G263)</f>
        <v>00100110101100111000000101100000</v>
      </c>
      <c r="I264" t="str" cm="1">
        <f t="array" ref="I264">HexToBits(I263)</f>
        <v>10101011000111000101111011010101</v>
      </c>
      <c r="K264" t="str" cm="1">
        <f t="array" ref="K264">HexToBits(K263)</f>
        <v>00000000000000000000000000000000</v>
      </c>
    </row>
    <row r="265" spans="1:12" x14ac:dyDescent="0.25">
      <c r="A265" s="7"/>
    </row>
    <row r="266" spans="1:12" x14ac:dyDescent="0.25">
      <c r="A266" s="7" t="s">
        <v>364</v>
      </c>
      <c r="B266" t="str">
        <f>_xlfn.BASE(
  (_xlfn.DECIMAL(C264,2)+_xlfn.DECIMAL(E264,2)+_xlfn.DECIMAL(G264,2)+_xlfn.DECIMAL(I264,2)+_xlfn.DECIMAL(K264,2))
  - (INT((_xlfn.DECIMAL(C264,2)+_xlfn.DECIMAL(E264,2)+_xlfn.DECIMAL(G264,2)+_xlfn.DECIMAL(I264,2)+_xlfn.DECIMAL(K264,2)) / 4294967296) * 4294967296),
  2,
  32
)</f>
        <v>00101000111110010110111100111110</v>
      </c>
    </row>
    <row r="267" spans="1:12" x14ac:dyDescent="0.25">
      <c r="A267" s="7" t="s">
        <v>369</v>
      </c>
      <c r="B267" t="str" cm="1">
        <f t="array" ref="B267">BitsToHex(B266)</f>
        <v>28F96F3E</v>
      </c>
    </row>
    <row r="270" spans="1:12" x14ac:dyDescent="0.25">
      <c r="A270" s="7" t="s">
        <v>373</v>
      </c>
      <c r="B270" s="7"/>
      <c r="C270" s="29" t="s">
        <v>371</v>
      </c>
      <c r="D270" s="26" t="s">
        <v>183</v>
      </c>
      <c r="E270" s="8" t="s">
        <v>372</v>
      </c>
      <c r="J270" s="32"/>
    </row>
    <row r="271" spans="1:12" x14ac:dyDescent="0.25">
      <c r="A271" s="7"/>
    </row>
    <row r="272" spans="1:12" x14ac:dyDescent="0.25">
      <c r="A272" s="7"/>
      <c r="C272" s="27" t="str" cm="1">
        <f t="array" ref="C272">BSIG0_H(E259)</f>
        <v>DB6BA298</v>
      </c>
      <c r="E272" t="str" cm="1">
        <f t="array" ref="E272">MAJ_H(E259,F259,G259)</f>
        <v>D34C0233</v>
      </c>
    </row>
    <row r="273" spans="1:12" x14ac:dyDescent="0.25">
      <c r="A273" s="7" t="s">
        <v>370</v>
      </c>
      <c r="C273" s="27" t="str" cm="1">
        <f t="array" ref="C273">HexToBits(C272)</f>
        <v>11011011011010111010001010011000</v>
      </c>
      <c r="E273" t="str" cm="1">
        <f t="array" ref="E273">HexToBits(E272)</f>
        <v>11010011010011000000001000110011</v>
      </c>
    </row>
    <row r="274" spans="1:12" x14ac:dyDescent="0.25">
      <c r="A274" s="7"/>
    </row>
    <row r="275" spans="1:12" x14ac:dyDescent="0.25">
      <c r="A275" s="7" t="s">
        <v>373</v>
      </c>
      <c r="B275" t="str">
        <f>_xlfn.BASE(MOD(_xlfn.DECIMAL(C273,2) + _xlfn.DECIMAL(E273,2), 4294967296), 2, 32)</f>
        <v>10101110101101111010010011001011</v>
      </c>
    </row>
    <row r="276" spans="1:12" x14ac:dyDescent="0.25">
      <c r="A276" s="7" t="s">
        <v>369</v>
      </c>
      <c r="B276" t="str" cm="1">
        <f t="array" ref="B276">BitsToHex(B275)</f>
        <v>AEB7A4CB</v>
      </c>
    </row>
    <row r="277" spans="1:12" x14ac:dyDescent="0.25">
      <c r="A277" s="7"/>
    </row>
    <row r="278" spans="1:12" x14ac:dyDescent="0.25">
      <c r="A278" s="7" t="s">
        <v>374</v>
      </c>
      <c r="C278" s="28" t="s">
        <v>31</v>
      </c>
      <c r="D278" s="26" t="s">
        <v>183</v>
      </c>
      <c r="E278" s="7" t="s">
        <v>227</v>
      </c>
    </row>
    <row r="279" spans="1:12" x14ac:dyDescent="0.25">
      <c r="A279" s="7"/>
      <c r="C279" s="28"/>
      <c r="D279" s="26"/>
      <c r="E279" s="7"/>
      <c r="L279" s="16"/>
    </row>
    <row r="280" spans="1:12" x14ac:dyDescent="0.25">
      <c r="C280" s="27" t="str" cm="1">
        <f t="array" ref="C280">HexToBits(H259)</f>
        <v>01111110100010011101111000111101</v>
      </c>
      <c r="D280" s="26"/>
      <c r="E280" t="str">
        <f>B266</f>
        <v>00101000111110010110111100111110</v>
      </c>
    </row>
    <row r="281" spans="1:12" x14ac:dyDescent="0.25">
      <c r="A281" s="7" t="s">
        <v>374</v>
      </c>
      <c r="B281" t="str">
        <f>_xlfn.BASE(MOD(_xlfn.DECIMAL(C280,2) + _xlfn.DECIMAL(E280,2), 4294967296), 2, 32)</f>
        <v>10100111100000110100110101111011</v>
      </c>
      <c r="D281" s="16"/>
    </row>
    <row r="282" spans="1:12" x14ac:dyDescent="0.25">
      <c r="A282" s="7" t="s">
        <v>375</v>
      </c>
      <c r="B282" t="str" cm="1">
        <f t="array" ref="B282">BitsToHex(B281)</f>
        <v>A7834D7B</v>
      </c>
      <c r="C282" s="28"/>
      <c r="D282" s="26"/>
      <c r="E282" s="7"/>
    </row>
    <row r="283" spans="1:12" x14ac:dyDescent="0.25">
      <c r="A283" s="7"/>
      <c r="C283" s="28"/>
      <c r="D283" s="26"/>
      <c r="E283" s="7"/>
    </row>
    <row r="284" spans="1:12" x14ac:dyDescent="0.25">
      <c r="A284" s="7" t="s">
        <v>376</v>
      </c>
      <c r="C284" s="28" t="s">
        <v>377</v>
      </c>
      <c r="D284" s="26" t="s">
        <v>183</v>
      </c>
      <c r="E284" s="7" t="s">
        <v>378</v>
      </c>
    </row>
    <row r="285" spans="1:12" x14ac:dyDescent="0.25">
      <c r="A285" s="7"/>
      <c r="C285" s="27" t="str">
        <f>B266</f>
        <v>00101000111110010110111100111110</v>
      </c>
      <c r="D285" s="16"/>
      <c r="E285" t="str">
        <f>B275</f>
        <v>10101110101101111010010011001011</v>
      </c>
    </row>
    <row r="286" spans="1:12" x14ac:dyDescent="0.25">
      <c r="A286" s="7"/>
      <c r="C286" s="28"/>
      <c r="D286" s="26"/>
      <c r="E286" s="7"/>
    </row>
    <row r="287" spans="1:12" x14ac:dyDescent="0.25">
      <c r="A287" s="7" t="s">
        <v>376</v>
      </c>
      <c r="B287" t="str">
        <f>_xlfn.BASE(MOD(_xlfn.DECIMAL(C285,2) + _xlfn.DECIMAL(E285,2), 4294967296), 2, 32)</f>
        <v>11010111101100010001010000001001</v>
      </c>
      <c r="C287" s="28"/>
      <c r="D287" s="26"/>
      <c r="E287" s="7"/>
    </row>
    <row r="288" spans="1:12" x14ac:dyDescent="0.25">
      <c r="A288" s="7" t="s">
        <v>375</v>
      </c>
      <c r="B288" t="str" cm="1">
        <f t="array" ref="B288">BitsToHex(B287)</f>
        <v>D7B11409</v>
      </c>
    </row>
    <row r="290" spans="1:13" x14ac:dyDescent="0.25">
      <c r="C290" s="27" t="s">
        <v>225</v>
      </c>
      <c r="E290" s="24" t="s">
        <v>8</v>
      </c>
      <c r="F290" s="24" t="s">
        <v>29</v>
      </c>
      <c r="G290" s="24" t="s">
        <v>30</v>
      </c>
      <c r="H290" s="24" t="s">
        <v>31</v>
      </c>
      <c r="I290" s="24" t="s">
        <v>221</v>
      </c>
      <c r="J290" s="24" t="s">
        <v>222</v>
      </c>
      <c r="K290" s="24" t="s">
        <v>34</v>
      </c>
      <c r="L290" s="24" t="s">
        <v>223</v>
      </c>
    </row>
    <row r="291" spans="1:13" x14ac:dyDescent="0.25">
      <c r="E291" s="24" t="str">
        <f>B288</f>
        <v>D7B11409</v>
      </c>
      <c r="F291" s="24" t="str">
        <f>E259</f>
        <v>510E8EA2</v>
      </c>
      <c r="G291" s="24" t="str">
        <f>F259</f>
        <v>8F483377</v>
      </c>
      <c r="H291" s="24" t="str">
        <f>G259</f>
        <v>D2FD403B</v>
      </c>
      <c r="I291" s="24" t="str">
        <f>B282</f>
        <v>A7834D7B</v>
      </c>
      <c r="J291" s="25" t="str">
        <f>I259</f>
        <v>EB56CC2A</v>
      </c>
      <c r="K291" s="24" t="str">
        <f>J259</f>
        <v>223BA3E1</v>
      </c>
      <c r="L291" s="24" t="str">
        <f>K259</f>
        <v>CEA7CD4A</v>
      </c>
    </row>
    <row r="292" spans="1:13" x14ac:dyDescent="0.25">
      <c r="A292" s="2"/>
      <c r="B292" s="2"/>
      <c r="C292" s="30" t="s">
        <v>379</v>
      </c>
      <c r="D292" s="2">
        <v>8</v>
      </c>
      <c r="E292" s="2"/>
      <c r="F292" s="2"/>
      <c r="G292" s="2"/>
      <c r="H292" s="2"/>
      <c r="I292" s="2"/>
      <c r="J292" s="2"/>
      <c r="K292" s="2"/>
      <c r="L292" s="2"/>
      <c r="M292" s="2"/>
    </row>
    <row r="293" spans="1:13" x14ac:dyDescent="0.25">
      <c r="D293" t="s">
        <v>380</v>
      </c>
      <c r="E293">
        <f>D292+1</f>
        <v>9</v>
      </c>
    </row>
    <row r="294" spans="1:13" x14ac:dyDescent="0.25">
      <c r="C294" s="27" t="s">
        <v>224</v>
      </c>
      <c r="E294" s="24" t="s">
        <v>8</v>
      </c>
      <c r="F294" s="24" t="s">
        <v>29</v>
      </c>
      <c r="G294" s="24" t="s">
        <v>30</v>
      </c>
      <c r="H294" s="24" t="s">
        <v>31</v>
      </c>
      <c r="I294" s="24" t="s">
        <v>221</v>
      </c>
      <c r="J294" s="24" t="s">
        <v>222</v>
      </c>
      <c r="K294" s="24" t="s">
        <v>34</v>
      </c>
      <c r="L294" s="24" t="s">
        <v>223</v>
      </c>
    </row>
    <row r="295" spans="1:13" x14ac:dyDescent="0.25">
      <c r="E295" s="24" t="str">
        <f t="shared" ref="E295:L295" si="8">E291</f>
        <v>D7B11409</v>
      </c>
      <c r="F295" s="24" t="str">
        <f t="shared" si="8"/>
        <v>510E8EA2</v>
      </c>
      <c r="G295" s="24" t="str">
        <f t="shared" si="8"/>
        <v>8F483377</v>
      </c>
      <c r="H295" s="24" t="str">
        <f t="shared" si="8"/>
        <v>D2FD403B</v>
      </c>
      <c r="I295" s="25" t="str">
        <f t="shared" si="8"/>
        <v>A7834D7B</v>
      </c>
      <c r="J295" s="24" t="str">
        <f t="shared" si="8"/>
        <v>EB56CC2A</v>
      </c>
      <c r="K295" s="24" t="str">
        <f t="shared" si="8"/>
        <v>223BA3E1</v>
      </c>
      <c r="L295" s="24" t="str">
        <f t="shared" si="8"/>
        <v>CEA7CD4A</v>
      </c>
    </row>
    <row r="297" spans="1:13" x14ac:dyDescent="0.25">
      <c r="A297" s="7" t="s">
        <v>363</v>
      </c>
      <c r="B297" s="7"/>
      <c r="C297" s="28" t="s">
        <v>223</v>
      </c>
      <c r="D297" s="26" t="s">
        <v>183</v>
      </c>
      <c r="E297" s="8" t="s">
        <v>365</v>
      </c>
      <c r="F297" s="26" t="s">
        <v>183</v>
      </c>
      <c r="G297" s="8" t="s">
        <v>366</v>
      </c>
      <c r="H297" s="26" t="s">
        <v>183</v>
      </c>
      <c r="I297" s="8" t="s">
        <v>367</v>
      </c>
      <c r="J297" s="26" t="s">
        <v>183</v>
      </c>
      <c r="K297" s="8" t="s">
        <v>368</v>
      </c>
    </row>
    <row r="298" spans="1:13" x14ac:dyDescent="0.25">
      <c r="A298" s="7"/>
    </row>
    <row r="299" spans="1:13" x14ac:dyDescent="0.25">
      <c r="A299" s="7"/>
      <c r="C299" s="27" t="str">
        <f>L295</f>
        <v>CEA7CD4A</v>
      </c>
      <c r="E299" t="str" cm="1">
        <f t="array" ref="E299">BSIG1_H(I295)</f>
        <v>804C408F</v>
      </c>
      <c r="G299" t="str" cm="1">
        <f t="array" ref="G299">CH_H(I295,J295,K295)</f>
        <v>A33AEEAA</v>
      </c>
      <c r="I299" t="str" cm="1">
        <f t="array" ref="I299">INDEX(Folha3!$C$15:$J$22,IF(MOD(E293,8)=0,0,1)+INT(E293/8),1+MOD(E293-1,8))</f>
        <v>d807aa98</v>
      </c>
      <c r="K299" t="str" cm="1">
        <f t="array" ref="K299">INDEX(Folha3!$C$38:$BN$38,1,E293)</f>
        <v>00000000</v>
      </c>
    </row>
    <row r="300" spans="1:13" x14ac:dyDescent="0.25">
      <c r="A300" s="7" t="s">
        <v>370</v>
      </c>
      <c r="C300" s="27" t="str" cm="1">
        <f t="array" ref="C300">HexToBits(C299)</f>
        <v>11001110101001111100110101001010</v>
      </c>
      <c r="E300" t="str" cm="1">
        <f t="array" ref="E300">HexToBits(E299)</f>
        <v>10000000010011000100000010001111</v>
      </c>
      <c r="G300" t="str" cm="1">
        <f t="array" ref="G300">HexToBits(G299)</f>
        <v>10100011001110101110111010101010</v>
      </c>
      <c r="I300" t="str" cm="1">
        <f t="array" ref="I300">HexToBits(I299)</f>
        <v>11011000000001111010101010011000</v>
      </c>
      <c r="K300" t="str" cm="1">
        <f t="array" ref="K300">HexToBits(K299)</f>
        <v>00000000000000000000000000000000</v>
      </c>
    </row>
    <row r="301" spans="1:13" x14ac:dyDescent="0.25">
      <c r="A301" s="7"/>
    </row>
    <row r="302" spans="1:13" x14ac:dyDescent="0.25">
      <c r="A302" s="7" t="s">
        <v>364</v>
      </c>
      <c r="B302" t="str">
        <f>_xlfn.BASE(
  (_xlfn.DECIMAL(C300,2)+_xlfn.DECIMAL(E300,2)+_xlfn.DECIMAL(G300,2)+_xlfn.DECIMAL(I300,2)+_xlfn.DECIMAL(K300,2))
  - (INT((_xlfn.DECIMAL(C300,2)+_xlfn.DECIMAL(E300,2)+_xlfn.DECIMAL(G300,2)+_xlfn.DECIMAL(I300,2)+_xlfn.DECIMAL(K300,2)) / 4294967296) * 4294967296),
  2,
  32
)</f>
        <v>11001010001101101010011100011011</v>
      </c>
    </row>
    <row r="303" spans="1:13" x14ac:dyDescent="0.25">
      <c r="A303" s="7" t="s">
        <v>369</v>
      </c>
      <c r="B303" t="str" cm="1">
        <f t="array" ref="B303">BitsToHex(B302)</f>
        <v>CA36A71B</v>
      </c>
    </row>
    <row r="306" spans="1:12" x14ac:dyDescent="0.25">
      <c r="A306" s="7" t="s">
        <v>373</v>
      </c>
      <c r="B306" s="7"/>
      <c r="C306" s="29" t="s">
        <v>371</v>
      </c>
      <c r="D306" s="26" t="s">
        <v>183</v>
      </c>
      <c r="E306" s="8" t="s">
        <v>372</v>
      </c>
      <c r="J306" s="32"/>
    </row>
    <row r="307" spans="1:12" x14ac:dyDescent="0.25">
      <c r="A307" s="7"/>
    </row>
    <row r="308" spans="1:12" x14ac:dyDescent="0.25">
      <c r="A308" s="7"/>
      <c r="C308" s="27" t="str" cm="1">
        <f t="array" ref="C308">BSIG0_H(E295)</f>
        <v>11F2DFD4</v>
      </c>
      <c r="E308" t="str" cm="1">
        <f t="array" ref="E308">MAJ_H(E295,F295,G295)</f>
        <v>D7081623</v>
      </c>
    </row>
    <row r="309" spans="1:12" x14ac:dyDescent="0.25">
      <c r="A309" s="7" t="s">
        <v>370</v>
      </c>
      <c r="C309" s="27" t="str" cm="1">
        <f t="array" ref="C309">HexToBits(C308)</f>
        <v>00010001111100101101111111010100</v>
      </c>
      <c r="E309" t="str" cm="1">
        <f t="array" ref="E309">HexToBits(E308)</f>
        <v>11010111000010000001011000100011</v>
      </c>
    </row>
    <row r="310" spans="1:12" x14ac:dyDescent="0.25">
      <c r="A310" s="7"/>
    </row>
    <row r="311" spans="1:12" x14ac:dyDescent="0.25">
      <c r="A311" s="7" t="s">
        <v>373</v>
      </c>
      <c r="B311" t="str">
        <f>_xlfn.BASE(MOD(_xlfn.DECIMAL(C309,2) + _xlfn.DECIMAL(E309,2), 4294967296), 2, 32)</f>
        <v>11101000111110101111010111110111</v>
      </c>
    </row>
    <row r="312" spans="1:12" x14ac:dyDescent="0.25">
      <c r="A312" s="7" t="s">
        <v>369</v>
      </c>
      <c r="B312" t="str" cm="1">
        <f t="array" ref="B312">BitsToHex(B311)</f>
        <v>E8FAF5F7</v>
      </c>
    </row>
    <row r="313" spans="1:12" x14ac:dyDescent="0.25">
      <c r="A313" s="7"/>
    </row>
    <row r="314" spans="1:12" x14ac:dyDescent="0.25">
      <c r="A314" s="7" t="s">
        <v>374</v>
      </c>
      <c r="C314" s="28" t="s">
        <v>31</v>
      </c>
      <c r="D314" s="26" t="s">
        <v>183</v>
      </c>
      <c r="E314" s="7" t="s">
        <v>227</v>
      </c>
    </row>
    <row r="315" spans="1:12" x14ac:dyDescent="0.25">
      <c r="A315" s="7"/>
      <c r="C315" s="28"/>
      <c r="D315" s="26"/>
      <c r="E315" s="7"/>
      <c r="L315" s="16"/>
    </row>
    <row r="316" spans="1:12" x14ac:dyDescent="0.25">
      <c r="C316" s="27" t="str" cm="1">
        <f t="array" ref="C316">HexToBits(H295)</f>
        <v>11010010111111010100000000111011</v>
      </c>
      <c r="D316" s="26"/>
      <c r="E316" t="str">
        <f>B302</f>
        <v>11001010001101101010011100011011</v>
      </c>
    </row>
    <row r="317" spans="1:12" x14ac:dyDescent="0.25">
      <c r="A317" s="7" t="s">
        <v>374</v>
      </c>
      <c r="B317" t="str">
        <f>_xlfn.BASE(MOD(_xlfn.DECIMAL(C316,2) + _xlfn.DECIMAL(E316,2), 4294967296), 2, 32)</f>
        <v>10011101001100111110011101010110</v>
      </c>
      <c r="D317" s="16"/>
    </row>
    <row r="318" spans="1:12" x14ac:dyDescent="0.25">
      <c r="A318" s="7" t="s">
        <v>375</v>
      </c>
      <c r="B318" t="str" cm="1">
        <f t="array" ref="B318">BitsToHex(B317)</f>
        <v>9D33E756</v>
      </c>
      <c r="C318" s="28"/>
      <c r="D318" s="26"/>
      <c r="E318" s="7"/>
    </row>
    <row r="319" spans="1:12" x14ac:dyDescent="0.25">
      <c r="A319" s="7"/>
      <c r="C319" s="28"/>
      <c r="D319" s="26"/>
      <c r="E319" s="7"/>
    </row>
    <row r="320" spans="1:12" x14ac:dyDescent="0.25">
      <c r="A320" s="7" t="s">
        <v>376</v>
      </c>
      <c r="C320" s="28" t="s">
        <v>377</v>
      </c>
      <c r="D320" s="26" t="s">
        <v>183</v>
      </c>
      <c r="E320" s="7" t="s">
        <v>378</v>
      </c>
    </row>
    <row r="321" spans="1:13" x14ac:dyDescent="0.25">
      <c r="A321" s="7"/>
      <c r="C321" s="27" t="str">
        <f>B302</f>
        <v>11001010001101101010011100011011</v>
      </c>
      <c r="D321" s="16"/>
      <c r="E321" t="str">
        <f>B311</f>
        <v>11101000111110101111010111110111</v>
      </c>
    </row>
    <row r="322" spans="1:13" x14ac:dyDescent="0.25">
      <c r="A322" s="7"/>
      <c r="C322" s="28"/>
      <c r="D322" s="26"/>
      <c r="E322" s="7"/>
    </row>
    <row r="323" spans="1:13" x14ac:dyDescent="0.25">
      <c r="A323" s="7" t="s">
        <v>376</v>
      </c>
      <c r="B323" t="str">
        <f>_xlfn.BASE(MOD(_xlfn.DECIMAL(C321,2) + _xlfn.DECIMAL(E321,2), 4294967296), 2, 32)</f>
        <v>10110011001100011001110100010010</v>
      </c>
      <c r="C323" s="28"/>
      <c r="D323" s="26"/>
      <c r="E323" s="7"/>
    </row>
    <row r="324" spans="1:13" x14ac:dyDescent="0.25">
      <c r="A324" s="7" t="s">
        <v>375</v>
      </c>
      <c r="B324" t="str" cm="1">
        <f t="array" ref="B324">BitsToHex(B323)</f>
        <v>B3319D12</v>
      </c>
    </row>
    <row r="326" spans="1:13" x14ac:dyDescent="0.25">
      <c r="C326" s="27" t="s">
        <v>225</v>
      </c>
      <c r="E326" s="24" t="s">
        <v>8</v>
      </c>
      <c r="F326" s="24" t="s">
        <v>29</v>
      </c>
      <c r="G326" s="24" t="s">
        <v>30</v>
      </c>
      <c r="H326" s="24" t="s">
        <v>31</v>
      </c>
      <c r="I326" s="24" t="s">
        <v>221</v>
      </c>
      <c r="J326" s="24" t="s">
        <v>222</v>
      </c>
      <c r="K326" s="24" t="s">
        <v>34</v>
      </c>
      <c r="L326" s="24" t="s">
        <v>223</v>
      </c>
    </row>
    <row r="327" spans="1:13" x14ac:dyDescent="0.25">
      <c r="E327" s="24" t="str">
        <f>B324</f>
        <v>B3319D12</v>
      </c>
      <c r="F327" s="24" t="str">
        <f>E295</f>
        <v>D7B11409</v>
      </c>
      <c r="G327" s="24" t="str">
        <f>F295</f>
        <v>510E8EA2</v>
      </c>
      <c r="H327" s="24" t="str">
        <f>G295</f>
        <v>8F483377</v>
      </c>
      <c r="I327" s="24" t="str">
        <f>B318</f>
        <v>9D33E756</v>
      </c>
      <c r="J327" s="25" t="str">
        <f>I295</f>
        <v>A7834D7B</v>
      </c>
      <c r="K327" s="24" t="str">
        <f>J295</f>
        <v>EB56CC2A</v>
      </c>
      <c r="L327" s="24" t="str">
        <f>K295</f>
        <v>223BA3E1</v>
      </c>
    </row>
    <row r="328" spans="1:13" x14ac:dyDescent="0.25">
      <c r="A328" s="2"/>
      <c r="B328" s="2"/>
      <c r="C328" s="30" t="s">
        <v>379</v>
      </c>
      <c r="D328" s="2">
        <v>9</v>
      </c>
      <c r="E328" s="2"/>
      <c r="F328" s="2"/>
      <c r="G328" s="2"/>
      <c r="H328" s="2"/>
      <c r="I328" s="2"/>
      <c r="J328" s="2"/>
      <c r="K328" s="2"/>
      <c r="L328" s="2"/>
      <c r="M328" s="2"/>
    </row>
    <row r="329" spans="1:13" x14ac:dyDescent="0.25">
      <c r="D329" t="s">
        <v>380</v>
      </c>
      <c r="E329">
        <f>D328+1</f>
        <v>10</v>
      </c>
    </row>
    <row r="330" spans="1:13" x14ac:dyDescent="0.25">
      <c r="C330" s="27" t="s">
        <v>224</v>
      </c>
      <c r="E330" s="24" t="s">
        <v>8</v>
      </c>
      <c r="F330" s="24" t="s">
        <v>29</v>
      </c>
      <c r="G330" s="24" t="s">
        <v>30</v>
      </c>
      <c r="H330" s="24" t="s">
        <v>31</v>
      </c>
      <c r="I330" s="24" t="s">
        <v>221</v>
      </c>
      <c r="J330" s="24" t="s">
        <v>222</v>
      </c>
      <c r="K330" s="24" t="s">
        <v>34</v>
      </c>
      <c r="L330" s="24" t="s">
        <v>223</v>
      </c>
    </row>
    <row r="331" spans="1:13" x14ac:dyDescent="0.25">
      <c r="E331" s="24" t="str">
        <f t="shared" ref="E331:L331" si="9">E327</f>
        <v>B3319D12</v>
      </c>
      <c r="F331" s="24" t="str">
        <f t="shared" si="9"/>
        <v>D7B11409</v>
      </c>
      <c r="G331" s="24" t="str">
        <f t="shared" si="9"/>
        <v>510E8EA2</v>
      </c>
      <c r="H331" s="24" t="str">
        <f t="shared" si="9"/>
        <v>8F483377</v>
      </c>
      <c r="I331" s="25" t="str">
        <f t="shared" si="9"/>
        <v>9D33E756</v>
      </c>
      <c r="J331" s="24" t="str">
        <f t="shared" si="9"/>
        <v>A7834D7B</v>
      </c>
      <c r="K331" s="24" t="str">
        <f t="shared" si="9"/>
        <v>EB56CC2A</v>
      </c>
      <c r="L331" s="24" t="str">
        <f t="shared" si="9"/>
        <v>223BA3E1</v>
      </c>
    </row>
    <row r="333" spans="1:13" x14ac:dyDescent="0.25">
      <c r="A333" s="7" t="s">
        <v>363</v>
      </c>
      <c r="B333" s="7"/>
      <c r="C333" s="28" t="s">
        <v>223</v>
      </c>
      <c r="D333" s="26" t="s">
        <v>183</v>
      </c>
      <c r="E333" s="8" t="s">
        <v>365</v>
      </c>
      <c r="F333" s="26" t="s">
        <v>183</v>
      </c>
      <c r="G333" s="8" t="s">
        <v>366</v>
      </c>
      <c r="H333" s="26" t="s">
        <v>183</v>
      </c>
      <c r="I333" s="8" t="s">
        <v>367</v>
      </c>
      <c r="J333" s="26" t="s">
        <v>183</v>
      </c>
      <c r="K333" s="8" t="s">
        <v>368</v>
      </c>
    </row>
    <row r="334" spans="1:13" x14ac:dyDescent="0.25">
      <c r="A334" s="7"/>
    </row>
    <row r="335" spans="1:13" x14ac:dyDescent="0.25">
      <c r="A335" s="7"/>
      <c r="C335" s="27" t="str">
        <f>L331</f>
        <v>223BA3E1</v>
      </c>
      <c r="E335" t="str" cm="1">
        <f t="array" ref="E335">BSIG1_H(I331)</f>
        <v>2954C2AF</v>
      </c>
      <c r="G335" t="str" cm="1">
        <f t="array" ref="G335">CH_H(I331,J331,K331)</f>
        <v>E7474D7A</v>
      </c>
      <c r="I335" t="str" cm="1">
        <f t="array" ref="I335">INDEX(Folha3!$C$15:$J$22,IF(MOD(E329,8)=0,0,1)+INT(E329/8),1+MOD(E329-1,8))</f>
        <v>12835b01</v>
      </c>
      <c r="K335" t="str" cm="1">
        <f t="array" ref="K335">INDEX(Folha3!$C$38:$BN$38,1,E329)</f>
        <v>00000000</v>
      </c>
    </row>
    <row r="336" spans="1:13" x14ac:dyDescent="0.25">
      <c r="A336" s="7" t="s">
        <v>370</v>
      </c>
      <c r="C336" s="27" t="str" cm="1">
        <f t="array" ref="C336">HexToBits(C335)</f>
        <v>00100010001110111010001111100001</v>
      </c>
      <c r="E336" t="str" cm="1">
        <f t="array" ref="E336">HexToBits(E335)</f>
        <v>00101001010101001100001010101111</v>
      </c>
      <c r="G336" t="str" cm="1">
        <f t="array" ref="G336">HexToBits(G335)</f>
        <v>11100111010001110100110101111010</v>
      </c>
      <c r="I336" t="str" cm="1">
        <f t="array" ref="I336">HexToBits(I335)</f>
        <v>00010010100000110101101100000001</v>
      </c>
      <c r="K336" t="str" cm="1">
        <f t="array" ref="K336">HexToBits(K335)</f>
        <v>00000000000000000000000000000000</v>
      </c>
    </row>
    <row r="337" spans="1:12" x14ac:dyDescent="0.25">
      <c r="A337" s="7"/>
    </row>
    <row r="338" spans="1:12" x14ac:dyDescent="0.25">
      <c r="A338" s="7" t="s">
        <v>364</v>
      </c>
      <c r="B338" t="str">
        <f>_xlfn.BASE(
  (_xlfn.DECIMAL(C336,2)+_xlfn.DECIMAL(E336,2)+_xlfn.DECIMAL(G336,2)+_xlfn.DECIMAL(I336,2)+_xlfn.DECIMAL(K336,2))
  - (INT((_xlfn.DECIMAL(C336,2)+_xlfn.DECIMAL(E336,2)+_xlfn.DECIMAL(G336,2)+_xlfn.DECIMAL(I336,2)+_xlfn.DECIMAL(K336,2)) / 4294967296) * 4294967296),
  2,
  32
)</f>
        <v>01000101010110110000111100001011</v>
      </c>
    </row>
    <row r="339" spans="1:12" x14ac:dyDescent="0.25">
      <c r="A339" s="7" t="s">
        <v>369</v>
      </c>
      <c r="B339" t="str" cm="1">
        <f t="array" ref="B339">BitsToHex(B338)</f>
        <v>455B0F0B</v>
      </c>
    </row>
    <row r="342" spans="1:12" x14ac:dyDescent="0.25">
      <c r="A342" s="7" t="s">
        <v>373</v>
      </c>
      <c r="B342" s="7"/>
      <c r="C342" s="29" t="s">
        <v>371</v>
      </c>
      <c r="D342" s="26" t="s">
        <v>183</v>
      </c>
      <c r="E342" s="8" t="s">
        <v>372</v>
      </c>
      <c r="J342" s="32"/>
    </row>
    <row r="343" spans="1:12" x14ac:dyDescent="0.25">
      <c r="A343" s="7"/>
    </row>
    <row r="344" spans="1:12" x14ac:dyDescent="0.25">
      <c r="A344" s="7"/>
      <c r="C344" s="27" t="str" cm="1">
        <f t="array" ref="C344">BSIG0_H(E331)</f>
        <v>822DB404</v>
      </c>
      <c r="E344" t="str" cm="1">
        <f t="array" ref="E344">MAJ_H(E331,F331,G331)</f>
        <v>D3319C02</v>
      </c>
    </row>
    <row r="345" spans="1:12" x14ac:dyDescent="0.25">
      <c r="A345" s="7" t="s">
        <v>370</v>
      </c>
      <c r="C345" s="27" t="str" cm="1">
        <f t="array" ref="C345">HexToBits(C344)</f>
        <v>10000010001011011011010000000100</v>
      </c>
      <c r="E345" t="str" cm="1">
        <f t="array" ref="E345">HexToBits(E344)</f>
        <v>11010011001100011001110000000010</v>
      </c>
    </row>
    <row r="346" spans="1:12" x14ac:dyDescent="0.25">
      <c r="A346" s="7"/>
    </row>
    <row r="347" spans="1:12" x14ac:dyDescent="0.25">
      <c r="A347" s="7" t="s">
        <v>373</v>
      </c>
      <c r="B347" t="str">
        <f>_xlfn.BASE(MOD(_xlfn.DECIMAL(C345,2) + _xlfn.DECIMAL(E345,2), 4294967296), 2, 32)</f>
        <v>01010101010111110101000000000110</v>
      </c>
    </row>
    <row r="348" spans="1:12" x14ac:dyDescent="0.25">
      <c r="A348" s="7" t="s">
        <v>369</v>
      </c>
      <c r="B348" t="str" cm="1">
        <f t="array" ref="B348">BitsToHex(B347)</f>
        <v>555F5006</v>
      </c>
    </row>
    <row r="349" spans="1:12" x14ac:dyDescent="0.25">
      <c r="A349" s="7"/>
    </row>
    <row r="350" spans="1:12" x14ac:dyDescent="0.25">
      <c r="A350" s="7" t="s">
        <v>374</v>
      </c>
      <c r="C350" s="28" t="s">
        <v>31</v>
      </c>
      <c r="D350" s="26" t="s">
        <v>183</v>
      </c>
      <c r="E350" s="7" t="s">
        <v>227</v>
      </c>
    </row>
    <row r="351" spans="1:12" x14ac:dyDescent="0.25">
      <c r="A351" s="7"/>
      <c r="C351" s="28"/>
      <c r="D351" s="26"/>
      <c r="E351" s="7"/>
      <c r="L351" s="16"/>
    </row>
    <row r="352" spans="1:12" x14ac:dyDescent="0.25">
      <c r="C352" s="27" t="str" cm="1">
        <f t="array" ref="C352">HexToBits(H331)</f>
        <v>10001111010010000011001101110111</v>
      </c>
      <c r="D352" s="26"/>
      <c r="E352" t="str">
        <f>B338</f>
        <v>01000101010110110000111100001011</v>
      </c>
    </row>
    <row r="353" spans="1:13" x14ac:dyDescent="0.25">
      <c r="A353" s="7" t="s">
        <v>374</v>
      </c>
      <c r="B353" t="str">
        <f>_xlfn.BASE(MOD(_xlfn.DECIMAL(C352,2) + _xlfn.DECIMAL(E352,2), 4294967296), 2, 32)</f>
        <v>11010100101000110100001010000010</v>
      </c>
      <c r="D353" s="16"/>
    </row>
    <row r="354" spans="1:13" x14ac:dyDescent="0.25">
      <c r="A354" s="7" t="s">
        <v>375</v>
      </c>
      <c r="B354" t="str" cm="1">
        <f t="array" ref="B354">BitsToHex(B353)</f>
        <v>D4A34282</v>
      </c>
      <c r="C354" s="28"/>
      <c r="D354" s="26"/>
      <c r="E354" s="7"/>
    </row>
    <row r="355" spans="1:13" x14ac:dyDescent="0.25">
      <c r="A355" s="7"/>
      <c r="C355" s="28"/>
      <c r="D355" s="26"/>
      <c r="E355" s="7"/>
    </row>
    <row r="356" spans="1:13" x14ac:dyDescent="0.25">
      <c r="A356" s="7" t="s">
        <v>376</v>
      </c>
      <c r="C356" s="28" t="s">
        <v>377</v>
      </c>
      <c r="D356" s="26" t="s">
        <v>183</v>
      </c>
      <c r="E356" s="7" t="s">
        <v>378</v>
      </c>
    </row>
    <row r="357" spans="1:13" x14ac:dyDescent="0.25">
      <c r="A357" s="7"/>
      <c r="C357" s="27" t="str">
        <f>B338</f>
        <v>01000101010110110000111100001011</v>
      </c>
      <c r="D357" s="16"/>
      <c r="E357" t="str">
        <f>B347</f>
        <v>01010101010111110101000000000110</v>
      </c>
    </row>
    <row r="358" spans="1:13" x14ac:dyDescent="0.25">
      <c r="A358" s="7"/>
      <c r="C358" s="28"/>
      <c r="D358" s="26"/>
      <c r="E358" s="7"/>
    </row>
    <row r="359" spans="1:13" x14ac:dyDescent="0.25">
      <c r="A359" s="7" t="s">
        <v>376</v>
      </c>
      <c r="B359" t="str">
        <f>_xlfn.BASE(MOD(_xlfn.DECIMAL(C357,2) + _xlfn.DECIMAL(E357,2), 4294967296), 2, 32)</f>
        <v>10011010101110100101111100010001</v>
      </c>
      <c r="C359" s="28"/>
      <c r="D359" s="26"/>
      <c r="E359" s="7"/>
    </row>
    <row r="360" spans="1:13" x14ac:dyDescent="0.25">
      <c r="A360" s="7" t="s">
        <v>375</v>
      </c>
      <c r="B360" t="str" cm="1">
        <f t="array" ref="B360">BitsToHex(B359)</f>
        <v>9ABA5F11</v>
      </c>
    </row>
    <row r="362" spans="1:13" x14ac:dyDescent="0.25">
      <c r="C362" s="27" t="s">
        <v>225</v>
      </c>
      <c r="E362" s="24" t="s">
        <v>8</v>
      </c>
      <c r="F362" s="24" t="s">
        <v>29</v>
      </c>
      <c r="G362" s="24" t="s">
        <v>30</v>
      </c>
      <c r="H362" s="24" t="s">
        <v>31</v>
      </c>
      <c r="I362" s="24" t="s">
        <v>221</v>
      </c>
      <c r="J362" s="24" t="s">
        <v>222</v>
      </c>
      <c r="K362" s="24" t="s">
        <v>34</v>
      </c>
      <c r="L362" s="24" t="s">
        <v>223</v>
      </c>
    </row>
    <row r="363" spans="1:13" x14ac:dyDescent="0.25">
      <c r="E363" s="24" t="str">
        <f>B360</f>
        <v>9ABA5F11</v>
      </c>
      <c r="F363" s="24" t="str">
        <f>E331</f>
        <v>B3319D12</v>
      </c>
      <c r="G363" s="24" t="str">
        <f>F331</f>
        <v>D7B11409</v>
      </c>
      <c r="H363" s="24" t="str">
        <f>G331</f>
        <v>510E8EA2</v>
      </c>
      <c r="I363" s="24" t="str">
        <f>B354</f>
        <v>D4A34282</v>
      </c>
      <c r="J363" s="25" t="str">
        <f>I331</f>
        <v>9D33E756</v>
      </c>
      <c r="K363" s="24" t="str">
        <f>J331</f>
        <v>A7834D7B</v>
      </c>
      <c r="L363" s="24" t="str">
        <f>K331</f>
        <v>EB56CC2A</v>
      </c>
    </row>
    <row r="364" spans="1:13" x14ac:dyDescent="0.25">
      <c r="A364" s="2"/>
      <c r="B364" s="2"/>
      <c r="C364" s="30" t="s">
        <v>379</v>
      </c>
      <c r="D364" s="2">
        <v>10</v>
      </c>
      <c r="E364" s="2"/>
      <c r="F364" s="2"/>
      <c r="G364" s="2"/>
      <c r="H364" s="2"/>
      <c r="I364" s="2"/>
      <c r="J364" s="2"/>
      <c r="K364" s="2"/>
      <c r="L364" s="2"/>
      <c r="M364" s="2"/>
    </row>
    <row r="365" spans="1:13" x14ac:dyDescent="0.25">
      <c r="D365" t="s">
        <v>380</v>
      </c>
      <c r="E365">
        <f>D364+1</f>
        <v>11</v>
      </c>
    </row>
    <row r="366" spans="1:13" x14ac:dyDescent="0.25">
      <c r="C366" s="27" t="s">
        <v>224</v>
      </c>
      <c r="E366" s="24" t="s">
        <v>8</v>
      </c>
      <c r="F366" s="24" t="s">
        <v>29</v>
      </c>
      <c r="G366" s="24" t="s">
        <v>30</v>
      </c>
      <c r="H366" s="24" t="s">
        <v>31</v>
      </c>
      <c r="I366" s="24" t="s">
        <v>221</v>
      </c>
      <c r="J366" s="24" t="s">
        <v>222</v>
      </c>
      <c r="K366" s="24" t="s">
        <v>34</v>
      </c>
      <c r="L366" s="24" t="s">
        <v>223</v>
      </c>
    </row>
    <row r="367" spans="1:13" x14ac:dyDescent="0.25">
      <c r="E367" s="24" t="str">
        <f t="shared" ref="E367:L367" si="10">E363</f>
        <v>9ABA5F11</v>
      </c>
      <c r="F367" s="24" t="str">
        <f t="shared" si="10"/>
        <v>B3319D12</v>
      </c>
      <c r="G367" s="24" t="str">
        <f t="shared" si="10"/>
        <v>D7B11409</v>
      </c>
      <c r="H367" s="24" t="str">
        <f t="shared" si="10"/>
        <v>510E8EA2</v>
      </c>
      <c r="I367" s="25" t="str">
        <f t="shared" si="10"/>
        <v>D4A34282</v>
      </c>
      <c r="J367" s="24" t="str">
        <f t="shared" si="10"/>
        <v>9D33E756</v>
      </c>
      <c r="K367" s="24" t="str">
        <f t="shared" si="10"/>
        <v>A7834D7B</v>
      </c>
      <c r="L367" s="24" t="str">
        <f t="shared" si="10"/>
        <v>EB56CC2A</v>
      </c>
    </row>
    <row r="369" spans="1:11" x14ac:dyDescent="0.25">
      <c r="A369" s="7" t="s">
        <v>363</v>
      </c>
      <c r="B369" s="7"/>
      <c r="C369" s="28" t="s">
        <v>223</v>
      </c>
      <c r="D369" s="26" t="s">
        <v>183</v>
      </c>
      <c r="E369" s="8" t="s">
        <v>365</v>
      </c>
      <c r="F369" s="26" t="s">
        <v>183</v>
      </c>
      <c r="G369" s="8" t="s">
        <v>366</v>
      </c>
      <c r="H369" s="26" t="s">
        <v>183</v>
      </c>
      <c r="I369" s="8" t="s">
        <v>367</v>
      </c>
      <c r="J369" s="26" t="s">
        <v>183</v>
      </c>
      <c r="K369" s="8" t="s">
        <v>368</v>
      </c>
    </row>
    <row r="370" spans="1:11" x14ac:dyDescent="0.25">
      <c r="A370" s="7"/>
    </row>
    <row r="371" spans="1:11" x14ac:dyDescent="0.25">
      <c r="A371" s="7"/>
      <c r="C371" s="27" t="str">
        <f>L367</f>
        <v>EB56CC2A</v>
      </c>
      <c r="E371" t="str" cm="1">
        <f t="array" ref="E371">BSIG1_H(I367)</f>
        <v>0AA95808</v>
      </c>
      <c r="G371" t="str" cm="1">
        <f t="array" ref="G371">CH_H(I367,J367,K367)</f>
        <v>B7234F7B</v>
      </c>
      <c r="I371" t="str" cm="1">
        <f t="array" ref="I371">INDEX(Folha3!$C$15:$J$22,IF(MOD(E365,8)=0,0,1)+INT(E365/8),1+MOD(E365-1,8))</f>
        <v>243185be</v>
      </c>
      <c r="K371" t="str" cm="1">
        <f t="array" ref="K371">INDEX(Folha3!$C$38:$BN$38,1,E365)</f>
        <v>00000000</v>
      </c>
    </row>
    <row r="372" spans="1:11" x14ac:dyDescent="0.25">
      <c r="A372" s="7" t="s">
        <v>370</v>
      </c>
      <c r="C372" s="27" t="str" cm="1">
        <f t="array" ref="C372">HexToBits(C371)</f>
        <v>11101011010101101100110000101010</v>
      </c>
      <c r="E372" t="str" cm="1">
        <f t="array" ref="E372">HexToBits(E371)</f>
        <v>00001010101010010101100000001000</v>
      </c>
      <c r="G372" t="str" cm="1">
        <f t="array" ref="G372">HexToBits(G371)</f>
        <v>10110111001000110100111101111011</v>
      </c>
      <c r="I372" t="str" cm="1">
        <f t="array" ref="I372">HexToBits(I371)</f>
        <v>00100100001100011000010110111110</v>
      </c>
      <c r="K372" t="str" cm="1">
        <f t="array" ref="K372">HexToBits(K371)</f>
        <v>00000000000000000000000000000000</v>
      </c>
    </row>
    <row r="373" spans="1:11" x14ac:dyDescent="0.25">
      <c r="A373" s="7"/>
    </row>
    <row r="374" spans="1:11" x14ac:dyDescent="0.25">
      <c r="A374" s="7" t="s">
        <v>364</v>
      </c>
      <c r="B374" t="str">
        <f>_xlfn.BASE(
  (_xlfn.DECIMAL(C372,2)+_xlfn.DECIMAL(E372,2)+_xlfn.DECIMAL(G372,2)+_xlfn.DECIMAL(I372,2)+_xlfn.DECIMAL(K372,2))
  - (INT((_xlfn.DECIMAL(C372,2)+_xlfn.DECIMAL(E372,2)+_xlfn.DECIMAL(G372,2)+_xlfn.DECIMAL(I372,2)+_xlfn.DECIMAL(K372,2)) / 4294967296) * 4294967296),
  2,
  32
)</f>
        <v>11010001010101001111100101101011</v>
      </c>
    </row>
    <row r="375" spans="1:11" x14ac:dyDescent="0.25">
      <c r="A375" s="7" t="s">
        <v>369</v>
      </c>
      <c r="B375" t="str" cm="1">
        <f t="array" ref="B375">BitsToHex(B374)</f>
        <v>D154F96B</v>
      </c>
    </row>
    <row r="378" spans="1:11" x14ac:dyDescent="0.25">
      <c r="A378" s="7" t="s">
        <v>373</v>
      </c>
      <c r="B378" s="7"/>
      <c r="C378" s="29" t="s">
        <v>371</v>
      </c>
      <c r="D378" s="26" t="s">
        <v>183</v>
      </c>
      <c r="E378" s="8" t="s">
        <v>372</v>
      </c>
      <c r="J378" s="32"/>
    </row>
    <row r="379" spans="1:11" x14ac:dyDescent="0.25">
      <c r="A379" s="7"/>
    </row>
    <row r="380" spans="1:11" x14ac:dyDescent="0.25">
      <c r="A380" s="7"/>
      <c r="C380" s="27" t="str" cm="1">
        <f t="array" ref="C380">BSIG0_H(E367)</f>
        <v>775E047C</v>
      </c>
      <c r="E380" t="str" cm="1">
        <f t="array" ref="E380">MAJ_H(E367,F367,G367)</f>
        <v>93B11D11</v>
      </c>
    </row>
    <row r="381" spans="1:11" x14ac:dyDescent="0.25">
      <c r="A381" s="7" t="s">
        <v>370</v>
      </c>
      <c r="C381" s="27" t="str" cm="1">
        <f t="array" ref="C381">HexToBits(C380)</f>
        <v>01110111010111100000010001111100</v>
      </c>
      <c r="E381" t="str" cm="1">
        <f t="array" ref="E381">HexToBits(E380)</f>
        <v>10010011101100010001110100010001</v>
      </c>
    </row>
    <row r="382" spans="1:11" x14ac:dyDescent="0.25">
      <c r="A382" s="7"/>
    </row>
    <row r="383" spans="1:11" x14ac:dyDescent="0.25">
      <c r="A383" s="7" t="s">
        <v>373</v>
      </c>
      <c r="B383" t="str">
        <f>_xlfn.BASE(MOD(_xlfn.DECIMAL(C381,2) + _xlfn.DECIMAL(E381,2), 4294967296), 2, 32)</f>
        <v>00001011000011110010000110001101</v>
      </c>
    </row>
    <row r="384" spans="1:11" x14ac:dyDescent="0.25">
      <c r="A384" s="7" t="s">
        <v>369</v>
      </c>
      <c r="B384" t="str" cm="1">
        <f t="array" ref="B384">BitsToHex(B383)</f>
        <v>0B0F218D</v>
      </c>
    </row>
    <row r="385" spans="1:13" x14ac:dyDescent="0.25">
      <c r="A385" s="7"/>
    </row>
    <row r="386" spans="1:13" x14ac:dyDescent="0.25">
      <c r="A386" s="7" t="s">
        <v>374</v>
      </c>
      <c r="C386" s="28" t="s">
        <v>31</v>
      </c>
      <c r="D386" s="26" t="s">
        <v>183</v>
      </c>
      <c r="E386" s="7" t="s">
        <v>227</v>
      </c>
    </row>
    <row r="387" spans="1:13" x14ac:dyDescent="0.25">
      <c r="A387" s="7"/>
      <c r="C387" s="28"/>
      <c r="D387" s="26"/>
      <c r="E387" s="7"/>
      <c r="L387" s="16"/>
    </row>
    <row r="388" spans="1:13" x14ac:dyDescent="0.25">
      <c r="C388" s="27" t="str" cm="1">
        <f t="array" ref="C388">HexToBits(H367)</f>
        <v>01010001000011101000111010100010</v>
      </c>
      <c r="D388" s="26"/>
      <c r="E388" t="str">
        <f>B374</f>
        <v>11010001010101001111100101101011</v>
      </c>
    </row>
    <row r="389" spans="1:13" x14ac:dyDescent="0.25">
      <c r="A389" s="7" t="s">
        <v>374</v>
      </c>
      <c r="B389" t="str">
        <f>_xlfn.BASE(MOD(_xlfn.DECIMAL(C388,2) + _xlfn.DECIMAL(E388,2), 4294967296), 2, 32)</f>
        <v>00100010011000111000100000001101</v>
      </c>
      <c r="D389" s="16"/>
    </row>
    <row r="390" spans="1:13" x14ac:dyDescent="0.25">
      <c r="A390" s="7" t="s">
        <v>375</v>
      </c>
      <c r="B390" t="str" cm="1">
        <f t="array" ref="B390">BitsToHex(B389)</f>
        <v>2263880D</v>
      </c>
      <c r="C390" s="28"/>
      <c r="D390" s="26"/>
      <c r="E390" s="7"/>
    </row>
    <row r="391" spans="1:13" x14ac:dyDescent="0.25">
      <c r="A391" s="7"/>
      <c r="C391" s="28"/>
      <c r="D391" s="26"/>
      <c r="E391" s="7"/>
    </row>
    <row r="392" spans="1:13" x14ac:dyDescent="0.25">
      <c r="A392" s="7" t="s">
        <v>376</v>
      </c>
      <c r="C392" s="28" t="s">
        <v>377</v>
      </c>
      <c r="D392" s="26" t="s">
        <v>183</v>
      </c>
      <c r="E392" s="7" t="s">
        <v>378</v>
      </c>
    </row>
    <row r="393" spans="1:13" x14ac:dyDescent="0.25">
      <c r="A393" s="7"/>
      <c r="C393" s="27" t="str">
        <f>B374</f>
        <v>11010001010101001111100101101011</v>
      </c>
      <c r="D393" s="16"/>
      <c r="E393" t="str">
        <f>B383</f>
        <v>00001011000011110010000110001101</v>
      </c>
    </row>
    <row r="394" spans="1:13" x14ac:dyDescent="0.25">
      <c r="A394" s="7"/>
      <c r="C394" s="28"/>
      <c r="D394" s="26"/>
      <c r="E394" s="7"/>
    </row>
    <row r="395" spans="1:13" x14ac:dyDescent="0.25">
      <c r="A395" s="7" t="s">
        <v>376</v>
      </c>
      <c r="B395" t="str">
        <f>_xlfn.BASE(MOD(_xlfn.DECIMAL(C393,2) + _xlfn.DECIMAL(E393,2), 4294967296), 2, 32)</f>
        <v>11011100011001000001101011111000</v>
      </c>
      <c r="C395" s="28"/>
      <c r="D395" s="26"/>
      <c r="E395" s="7"/>
    </row>
    <row r="396" spans="1:13" x14ac:dyDescent="0.25">
      <c r="A396" s="7" t="s">
        <v>375</v>
      </c>
      <c r="B396" t="str" cm="1">
        <f t="array" ref="B396">BitsToHex(B395)</f>
        <v>DC641AF8</v>
      </c>
    </row>
    <row r="398" spans="1:13" x14ac:dyDescent="0.25">
      <c r="C398" s="27" t="s">
        <v>225</v>
      </c>
      <c r="E398" s="24" t="s">
        <v>8</v>
      </c>
      <c r="F398" s="24" t="s">
        <v>29</v>
      </c>
      <c r="G398" s="24" t="s">
        <v>30</v>
      </c>
      <c r="H398" s="24" t="s">
        <v>31</v>
      </c>
      <c r="I398" s="24" t="s">
        <v>221</v>
      </c>
      <c r="J398" s="24" t="s">
        <v>222</v>
      </c>
      <c r="K398" s="24" t="s">
        <v>34</v>
      </c>
      <c r="L398" s="24" t="s">
        <v>223</v>
      </c>
    </row>
    <row r="399" spans="1:13" x14ac:dyDescent="0.25">
      <c r="E399" s="24" t="str">
        <f>B396</f>
        <v>DC641AF8</v>
      </c>
      <c r="F399" s="24" t="str">
        <f>E367</f>
        <v>9ABA5F11</v>
      </c>
      <c r="G399" s="24" t="str">
        <f>F367</f>
        <v>B3319D12</v>
      </c>
      <c r="H399" s="24" t="str">
        <f>G367</f>
        <v>D7B11409</v>
      </c>
      <c r="I399" s="24" t="str">
        <f>B390</f>
        <v>2263880D</v>
      </c>
      <c r="J399" s="25" t="str">
        <f>I367</f>
        <v>D4A34282</v>
      </c>
      <c r="K399" s="24" t="str">
        <f>J367</f>
        <v>9D33E756</v>
      </c>
      <c r="L399" s="24" t="str">
        <f>K367</f>
        <v>A7834D7B</v>
      </c>
    </row>
    <row r="400" spans="1:13" x14ac:dyDescent="0.25">
      <c r="A400" s="2"/>
      <c r="B400" s="2"/>
      <c r="C400" s="30" t="s">
        <v>379</v>
      </c>
      <c r="D400" s="2">
        <v>11</v>
      </c>
      <c r="E400" s="2"/>
      <c r="F400" s="2"/>
      <c r="G400" s="2"/>
      <c r="H400" s="2"/>
      <c r="I400" s="2"/>
      <c r="J400" s="2"/>
      <c r="K400" s="2"/>
      <c r="L400" s="2"/>
      <c r="M400" s="2"/>
    </row>
    <row r="401" spans="1:12" x14ac:dyDescent="0.25">
      <c r="D401" t="s">
        <v>380</v>
      </c>
      <c r="E401">
        <f>D400+1</f>
        <v>12</v>
      </c>
    </row>
    <row r="402" spans="1:12" x14ac:dyDescent="0.25">
      <c r="C402" s="27" t="s">
        <v>224</v>
      </c>
      <c r="E402" s="24" t="s">
        <v>8</v>
      </c>
      <c r="F402" s="24" t="s">
        <v>29</v>
      </c>
      <c r="G402" s="24" t="s">
        <v>30</v>
      </c>
      <c r="H402" s="24" t="s">
        <v>31</v>
      </c>
      <c r="I402" s="24" t="s">
        <v>221</v>
      </c>
      <c r="J402" s="24" t="s">
        <v>222</v>
      </c>
      <c r="K402" s="24" t="s">
        <v>34</v>
      </c>
      <c r="L402" s="24" t="s">
        <v>223</v>
      </c>
    </row>
    <row r="403" spans="1:12" x14ac:dyDescent="0.25">
      <c r="E403" s="24" t="str">
        <f t="shared" ref="E403:L403" si="11">E399</f>
        <v>DC641AF8</v>
      </c>
      <c r="F403" s="24" t="str">
        <f t="shared" si="11"/>
        <v>9ABA5F11</v>
      </c>
      <c r="G403" s="24" t="str">
        <f t="shared" si="11"/>
        <v>B3319D12</v>
      </c>
      <c r="H403" s="24" t="str">
        <f t="shared" si="11"/>
        <v>D7B11409</v>
      </c>
      <c r="I403" s="25" t="str">
        <f t="shared" si="11"/>
        <v>2263880D</v>
      </c>
      <c r="J403" s="24" t="str">
        <f t="shared" si="11"/>
        <v>D4A34282</v>
      </c>
      <c r="K403" s="24" t="str">
        <f t="shared" si="11"/>
        <v>9D33E756</v>
      </c>
      <c r="L403" s="24" t="str">
        <f t="shared" si="11"/>
        <v>A7834D7B</v>
      </c>
    </row>
    <row r="405" spans="1:12" x14ac:dyDescent="0.25">
      <c r="A405" s="7" t="s">
        <v>363</v>
      </c>
      <c r="B405" s="7"/>
      <c r="C405" s="28" t="s">
        <v>223</v>
      </c>
      <c r="D405" s="26" t="s">
        <v>183</v>
      </c>
      <c r="E405" s="8" t="s">
        <v>365</v>
      </c>
      <c r="F405" s="26" t="s">
        <v>183</v>
      </c>
      <c r="G405" s="8" t="s">
        <v>366</v>
      </c>
      <c r="H405" s="26" t="s">
        <v>183</v>
      </c>
      <c r="I405" s="8" t="s">
        <v>367</v>
      </c>
      <c r="J405" s="26" t="s">
        <v>183</v>
      </c>
      <c r="K405" s="8" t="s">
        <v>368</v>
      </c>
    </row>
    <row r="406" spans="1:12" x14ac:dyDescent="0.25">
      <c r="A406" s="7"/>
    </row>
    <row r="407" spans="1:12" x14ac:dyDescent="0.25">
      <c r="A407" s="7"/>
      <c r="C407" s="27" t="str">
        <f>L403</f>
        <v>A7834D7B</v>
      </c>
      <c r="E407" t="str" cm="1">
        <f t="array" ref="E407">BSIG1_H(I403)</f>
        <v>04E9C4C0</v>
      </c>
      <c r="G407" t="str" cm="1">
        <f t="array" ref="G407">CH_H(I403,J403,K403)</f>
        <v>9D336752</v>
      </c>
      <c r="I407" t="str" cm="1">
        <f t="array" ref="I407">INDEX(Folha3!$C$15:$J$22,IF(MOD(E401,8)=0,0,1)+INT(E401/8),1+MOD(E401-1,8))</f>
        <v>550c7dc3</v>
      </c>
      <c r="K407" t="str" cm="1">
        <f t="array" ref="K407">INDEX(Folha3!$C$38:$BN$38,1,E401)</f>
        <v>00000000</v>
      </c>
    </row>
    <row r="408" spans="1:12" x14ac:dyDescent="0.25">
      <c r="A408" s="7" t="s">
        <v>370</v>
      </c>
      <c r="C408" s="27" t="str" cm="1">
        <f t="array" ref="C408">HexToBits(C407)</f>
        <v>10100111100000110100110101111011</v>
      </c>
      <c r="E408" t="str" cm="1">
        <f t="array" ref="E408">HexToBits(E407)</f>
        <v>00000100111010011100010011000000</v>
      </c>
      <c r="G408" t="str" cm="1">
        <f t="array" ref="G408">HexToBits(G407)</f>
        <v>10011101001100110110011101010010</v>
      </c>
      <c r="I408" t="str" cm="1">
        <f t="array" ref="I408">HexToBits(I407)</f>
        <v>01010101000011000111110111000011</v>
      </c>
      <c r="K408" t="str" cm="1">
        <f t="array" ref="K408">HexToBits(K407)</f>
        <v>00000000000000000000000000000000</v>
      </c>
    </row>
    <row r="409" spans="1:12" x14ac:dyDescent="0.25">
      <c r="A409" s="7"/>
    </row>
    <row r="410" spans="1:12" x14ac:dyDescent="0.25">
      <c r="A410" s="7" t="s">
        <v>364</v>
      </c>
      <c r="B410" t="str">
        <f>_xlfn.BASE(
  (_xlfn.DECIMAL(C408,2)+_xlfn.DECIMAL(E408,2)+_xlfn.DECIMAL(G408,2)+_xlfn.DECIMAL(I408,2)+_xlfn.DECIMAL(K408,2))
  - (INT((_xlfn.DECIMAL(C408,2)+_xlfn.DECIMAL(E408,2)+_xlfn.DECIMAL(G408,2)+_xlfn.DECIMAL(I408,2)+_xlfn.DECIMAL(K408,2)) / 4294967296) * 4294967296),
  2,
  32
)</f>
        <v>10011110101011001111011101010000</v>
      </c>
    </row>
    <row r="411" spans="1:12" x14ac:dyDescent="0.25">
      <c r="A411" s="7" t="s">
        <v>369</v>
      </c>
      <c r="B411" t="str" cm="1">
        <f t="array" ref="B411">BitsToHex(B410)</f>
        <v>9EACF750</v>
      </c>
    </row>
    <row r="414" spans="1:12" x14ac:dyDescent="0.25">
      <c r="A414" s="7" t="s">
        <v>373</v>
      </c>
      <c r="B414" s="7"/>
      <c r="C414" s="29" t="s">
        <v>371</v>
      </c>
      <c r="D414" s="26" t="s">
        <v>183</v>
      </c>
      <c r="E414" s="8" t="s">
        <v>372</v>
      </c>
      <c r="J414" s="32"/>
    </row>
    <row r="415" spans="1:12" x14ac:dyDescent="0.25">
      <c r="A415" s="7"/>
    </row>
    <row r="416" spans="1:12" x14ac:dyDescent="0.25">
      <c r="A416" s="7"/>
      <c r="C416" s="27" t="str" cm="1">
        <f t="array" ref="C416">BSIG0_H(E403)</f>
        <v>70B406EF</v>
      </c>
      <c r="E416" t="str" cm="1">
        <f t="array" ref="E416">MAJ_H(E403,F403,G403)</f>
        <v>9A301F10</v>
      </c>
    </row>
    <row r="417" spans="1:12" x14ac:dyDescent="0.25">
      <c r="A417" s="7" t="s">
        <v>370</v>
      </c>
      <c r="C417" s="27" t="str" cm="1">
        <f t="array" ref="C417">HexToBits(C416)</f>
        <v>01110000101101000000011011101111</v>
      </c>
      <c r="E417" t="str" cm="1">
        <f t="array" ref="E417">HexToBits(E416)</f>
        <v>10011010001100000001111100010000</v>
      </c>
    </row>
    <row r="418" spans="1:12" x14ac:dyDescent="0.25">
      <c r="A418" s="7"/>
    </row>
    <row r="419" spans="1:12" x14ac:dyDescent="0.25">
      <c r="A419" s="7" t="s">
        <v>373</v>
      </c>
      <c r="B419" t="str">
        <f>_xlfn.BASE(MOD(_xlfn.DECIMAL(C417,2) + _xlfn.DECIMAL(E417,2), 4294967296), 2, 32)</f>
        <v>00001010111001000010010111111111</v>
      </c>
    </row>
    <row r="420" spans="1:12" x14ac:dyDescent="0.25">
      <c r="A420" s="7" t="s">
        <v>369</v>
      </c>
      <c r="B420" t="str" cm="1">
        <f t="array" ref="B420">BitsToHex(B419)</f>
        <v>0AE425FF</v>
      </c>
    </row>
    <row r="421" spans="1:12" x14ac:dyDescent="0.25">
      <c r="A421" s="7"/>
    </row>
    <row r="422" spans="1:12" x14ac:dyDescent="0.25">
      <c r="A422" s="7" t="s">
        <v>374</v>
      </c>
      <c r="C422" s="28" t="s">
        <v>31</v>
      </c>
      <c r="D422" s="26" t="s">
        <v>183</v>
      </c>
      <c r="E422" s="7" t="s">
        <v>227</v>
      </c>
    </row>
    <row r="423" spans="1:12" x14ac:dyDescent="0.25">
      <c r="A423" s="7"/>
      <c r="C423" s="28"/>
      <c r="D423" s="26"/>
      <c r="E423" s="7"/>
      <c r="L423" s="16"/>
    </row>
    <row r="424" spans="1:12" x14ac:dyDescent="0.25">
      <c r="C424" s="27" t="str" cm="1">
        <f t="array" ref="C424">HexToBits(H403)</f>
        <v>11010111101100010001010000001001</v>
      </c>
      <c r="D424" s="26"/>
      <c r="E424" t="str">
        <f>B410</f>
        <v>10011110101011001111011101010000</v>
      </c>
    </row>
    <row r="425" spans="1:12" x14ac:dyDescent="0.25">
      <c r="A425" s="7" t="s">
        <v>374</v>
      </c>
      <c r="B425" t="str">
        <f>_xlfn.BASE(MOD(_xlfn.DECIMAL(C424,2) + _xlfn.DECIMAL(E424,2), 4294967296), 2, 32)</f>
        <v>01110110010111100000101101011001</v>
      </c>
      <c r="D425" s="16"/>
    </row>
    <row r="426" spans="1:12" x14ac:dyDescent="0.25">
      <c r="A426" s="7" t="s">
        <v>375</v>
      </c>
      <c r="B426" t="str" cm="1">
        <f t="array" ref="B426">BitsToHex(B425)</f>
        <v>765E0B59</v>
      </c>
      <c r="C426" s="28"/>
      <c r="D426" s="26"/>
      <c r="E426" s="7"/>
    </row>
    <row r="427" spans="1:12" x14ac:dyDescent="0.25">
      <c r="A427" s="7"/>
      <c r="C427" s="28"/>
      <c r="D427" s="26"/>
      <c r="E427" s="7"/>
    </row>
    <row r="428" spans="1:12" x14ac:dyDescent="0.25">
      <c r="A428" s="7" t="s">
        <v>376</v>
      </c>
      <c r="C428" s="28" t="s">
        <v>377</v>
      </c>
      <c r="D428" s="26" t="s">
        <v>183</v>
      </c>
      <c r="E428" s="7" t="s">
        <v>378</v>
      </c>
    </row>
    <row r="429" spans="1:12" x14ac:dyDescent="0.25">
      <c r="A429" s="7"/>
      <c r="C429" s="27" t="str">
        <f>B410</f>
        <v>10011110101011001111011101010000</v>
      </c>
      <c r="D429" s="16"/>
      <c r="E429" t="str">
        <f>B419</f>
        <v>00001010111001000010010111111111</v>
      </c>
    </row>
    <row r="430" spans="1:12" x14ac:dyDescent="0.25">
      <c r="A430" s="7"/>
      <c r="C430" s="28"/>
      <c r="D430" s="26"/>
      <c r="E430" s="7"/>
    </row>
    <row r="431" spans="1:12" x14ac:dyDescent="0.25">
      <c r="A431" s="7" t="s">
        <v>376</v>
      </c>
      <c r="B431" t="str">
        <f>_xlfn.BASE(MOD(_xlfn.DECIMAL(C429,2) + _xlfn.DECIMAL(E429,2), 4294967296), 2, 32)</f>
        <v>10101001100100010001110101001111</v>
      </c>
      <c r="C431" s="28"/>
      <c r="D431" s="26"/>
      <c r="E431" s="7"/>
    </row>
    <row r="432" spans="1:12" x14ac:dyDescent="0.25">
      <c r="A432" s="7" t="s">
        <v>375</v>
      </c>
      <c r="B432" t="str" cm="1">
        <f t="array" ref="B432">BitsToHex(B431)</f>
        <v>A9911D4F</v>
      </c>
    </row>
    <row r="434" spans="1:13" x14ac:dyDescent="0.25">
      <c r="C434" s="27" t="s">
        <v>225</v>
      </c>
      <c r="E434" s="24" t="s">
        <v>8</v>
      </c>
      <c r="F434" s="24" t="s">
        <v>29</v>
      </c>
      <c r="G434" s="24" t="s">
        <v>30</v>
      </c>
      <c r="H434" s="24" t="s">
        <v>31</v>
      </c>
      <c r="I434" s="24" t="s">
        <v>221</v>
      </c>
      <c r="J434" s="24" t="s">
        <v>222</v>
      </c>
      <c r="K434" s="24" t="s">
        <v>34</v>
      </c>
      <c r="L434" s="24" t="s">
        <v>223</v>
      </c>
    </row>
    <row r="435" spans="1:13" x14ac:dyDescent="0.25">
      <c r="E435" s="24" t="str">
        <f>B432</f>
        <v>A9911D4F</v>
      </c>
      <c r="F435" s="24" t="str">
        <f>E403</f>
        <v>DC641AF8</v>
      </c>
      <c r="G435" s="24" t="str">
        <f>F403</f>
        <v>9ABA5F11</v>
      </c>
      <c r="H435" s="24" t="str">
        <f>G403</f>
        <v>B3319D12</v>
      </c>
      <c r="I435" s="24" t="str">
        <f>B426</f>
        <v>765E0B59</v>
      </c>
      <c r="J435" s="25" t="str">
        <f>I403</f>
        <v>2263880D</v>
      </c>
      <c r="K435" s="24" t="str">
        <f>J403</f>
        <v>D4A34282</v>
      </c>
      <c r="L435" s="24" t="str">
        <f>K403</f>
        <v>9D33E756</v>
      </c>
    </row>
    <row r="436" spans="1:13" x14ac:dyDescent="0.25">
      <c r="A436" s="2"/>
      <c r="B436" s="2"/>
      <c r="C436" s="30" t="s">
        <v>379</v>
      </c>
      <c r="D436" s="2">
        <v>12</v>
      </c>
      <c r="E436" s="2"/>
      <c r="F436" s="2"/>
      <c r="G436" s="2"/>
      <c r="H436" s="2"/>
      <c r="I436" s="2"/>
      <c r="J436" s="2"/>
      <c r="K436" s="2"/>
      <c r="L436" s="2"/>
      <c r="M436" s="2"/>
    </row>
    <row r="437" spans="1:13" x14ac:dyDescent="0.25">
      <c r="D437" t="s">
        <v>380</v>
      </c>
      <c r="E437">
        <f>D436+1</f>
        <v>13</v>
      </c>
    </row>
    <row r="438" spans="1:13" x14ac:dyDescent="0.25">
      <c r="C438" s="27" t="s">
        <v>224</v>
      </c>
      <c r="E438" s="24" t="s">
        <v>8</v>
      </c>
      <c r="F438" s="24" t="s">
        <v>29</v>
      </c>
      <c r="G438" s="24" t="s">
        <v>30</v>
      </c>
      <c r="H438" s="24" t="s">
        <v>31</v>
      </c>
      <c r="I438" s="24" t="s">
        <v>221</v>
      </c>
      <c r="J438" s="24" t="s">
        <v>222</v>
      </c>
      <c r="K438" s="24" t="s">
        <v>34</v>
      </c>
      <c r="L438" s="24" t="s">
        <v>223</v>
      </c>
    </row>
    <row r="439" spans="1:13" x14ac:dyDescent="0.25">
      <c r="E439" s="24" t="str">
        <f t="shared" ref="E439:L439" si="12">E435</f>
        <v>A9911D4F</v>
      </c>
      <c r="F439" s="24" t="str">
        <f t="shared" si="12"/>
        <v>DC641AF8</v>
      </c>
      <c r="G439" s="24" t="str">
        <f t="shared" si="12"/>
        <v>9ABA5F11</v>
      </c>
      <c r="H439" s="24" t="str">
        <f t="shared" si="12"/>
        <v>B3319D12</v>
      </c>
      <c r="I439" s="25" t="str">
        <f t="shared" si="12"/>
        <v>765E0B59</v>
      </c>
      <c r="J439" s="24" t="str">
        <f t="shared" si="12"/>
        <v>2263880D</v>
      </c>
      <c r="K439" s="24" t="str">
        <f t="shared" si="12"/>
        <v>D4A34282</v>
      </c>
      <c r="L439" s="24" t="str">
        <f t="shared" si="12"/>
        <v>9D33E756</v>
      </c>
    </row>
    <row r="441" spans="1:13" x14ac:dyDescent="0.25">
      <c r="A441" s="7" t="s">
        <v>363</v>
      </c>
      <c r="B441" s="7"/>
      <c r="C441" s="28" t="s">
        <v>223</v>
      </c>
      <c r="D441" s="26" t="s">
        <v>183</v>
      </c>
      <c r="E441" s="8" t="s">
        <v>365</v>
      </c>
      <c r="F441" s="26" t="s">
        <v>183</v>
      </c>
      <c r="G441" s="8" t="s">
        <v>366</v>
      </c>
      <c r="H441" s="26" t="s">
        <v>183</v>
      </c>
      <c r="I441" s="8" t="s">
        <v>367</v>
      </c>
      <c r="J441" s="26" t="s">
        <v>183</v>
      </c>
      <c r="K441" s="8" t="s">
        <v>368</v>
      </c>
    </row>
    <row r="442" spans="1:13" x14ac:dyDescent="0.25">
      <c r="A442" s="7"/>
    </row>
    <row r="443" spans="1:13" x14ac:dyDescent="0.25">
      <c r="A443" s="7"/>
      <c r="C443" s="27" t="str">
        <f>L439</f>
        <v>9D33E756</v>
      </c>
      <c r="E443" t="str" cm="1">
        <f t="array" ref="E443">BSIG1_H(I439)</f>
        <v>21F21F57</v>
      </c>
      <c r="G443" t="str" cm="1">
        <f t="array" ref="G443">CH_H(I439,J439,K439)</f>
        <v>A2E3488B</v>
      </c>
      <c r="I443" t="str" cm="1">
        <f t="array" ref="I443">INDEX(Folha3!$C$15:$J$22,IF(MOD(E437,8)=0,0,1)+INT(E437/8),1+MOD(E437-1,8))</f>
        <v>72be5d74</v>
      </c>
      <c r="K443" t="str" cm="1">
        <f t="array" ref="K443">INDEX(Folha3!$C$38:$BN$38,1,E437)</f>
        <v>00000000</v>
      </c>
    </row>
    <row r="444" spans="1:13" x14ac:dyDescent="0.25">
      <c r="A444" s="7" t="s">
        <v>370</v>
      </c>
      <c r="C444" s="27" t="str" cm="1">
        <f t="array" ref="C444">HexToBits(C443)</f>
        <v>10011101001100111110011101010110</v>
      </c>
      <c r="E444" t="str" cm="1">
        <f t="array" ref="E444">HexToBits(E443)</f>
        <v>00100001111100100001111101010111</v>
      </c>
      <c r="G444" t="str" cm="1">
        <f t="array" ref="G444">HexToBits(G443)</f>
        <v>10100010111000110100100010001011</v>
      </c>
      <c r="I444" t="str" cm="1">
        <f t="array" ref="I444">HexToBits(I443)</f>
        <v>01110010101111100101110101110100</v>
      </c>
      <c r="K444" t="str" cm="1">
        <f t="array" ref="K444">HexToBits(K443)</f>
        <v>00000000000000000000000000000000</v>
      </c>
    </row>
    <row r="445" spans="1:13" x14ac:dyDescent="0.25">
      <c r="A445" s="7"/>
    </row>
    <row r="446" spans="1:13" x14ac:dyDescent="0.25">
      <c r="A446" s="7" t="s">
        <v>364</v>
      </c>
      <c r="B446" t="str">
        <f>_xlfn.BASE(
  (_xlfn.DECIMAL(C444,2)+_xlfn.DECIMAL(E444,2)+_xlfn.DECIMAL(G444,2)+_xlfn.DECIMAL(I444,2)+_xlfn.DECIMAL(K444,2))
  - (INT((_xlfn.DECIMAL(C444,2)+_xlfn.DECIMAL(E444,2)+_xlfn.DECIMAL(G444,2)+_xlfn.DECIMAL(I444,2)+_xlfn.DECIMAL(K444,2)) / 4294967296) * 4294967296),
  2,
  32
)</f>
        <v>11010100110001111010110010101100</v>
      </c>
    </row>
    <row r="447" spans="1:13" x14ac:dyDescent="0.25">
      <c r="A447" s="7" t="s">
        <v>369</v>
      </c>
      <c r="B447" t="str" cm="1">
        <f t="array" ref="B447">BitsToHex(B446)</f>
        <v>D4C7ACAC</v>
      </c>
    </row>
    <row r="450" spans="1:12" x14ac:dyDescent="0.25">
      <c r="A450" s="7" t="s">
        <v>373</v>
      </c>
      <c r="B450" s="7"/>
      <c r="C450" s="29" t="s">
        <v>371</v>
      </c>
      <c r="D450" s="26" t="s">
        <v>183</v>
      </c>
      <c r="E450" s="8" t="s">
        <v>372</v>
      </c>
      <c r="J450" s="32"/>
    </row>
    <row r="451" spans="1:12" x14ac:dyDescent="0.25">
      <c r="A451" s="7"/>
    </row>
    <row r="452" spans="1:12" x14ac:dyDescent="0.25">
      <c r="A452" s="7"/>
      <c r="C452" s="27" t="str" cm="1">
        <f t="array" ref="C452">BSIG0_H(E439)</f>
        <v>446C357D</v>
      </c>
      <c r="E452" t="str" cm="1">
        <f t="array" ref="E452">MAJ_H(E439,F439,G439)</f>
        <v>98B01F59</v>
      </c>
    </row>
    <row r="453" spans="1:12" x14ac:dyDescent="0.25">
      <c r="A453" s="7" t="s">
        <v>370</v>
      </c>
      <c r="C453" s="27" t="str" cm="1">
        <f t="array" ref="C453">HexToBits(C452)</f>
        <v>01000100011011000011010101111101</v>
      </c>
      <c r="E453" t="str" cm="1">
        <f t="array" ref="E453">HexToBits(E452)</f>
        <v>10011000101100000001111101011001</v>
      </c>
    </row>
    <row r="454" spans="1:12" x14ac:dyDescent="0.25">
      <c r="A454" s="7"/>
    </row>
    <row r="455" spans="1:12" x14ac:dyDescent="0.25">
      <c r="A455" s="7" t="s">
        <v>373</v>
      </c>
      <c r="B455" t="str">
        <f>_xlfn.BASE(MOD(_xlfn.DECIMAL(C453,2) + _xlfn.DECIMAL(E453,2), 4294967296), 2, 32)</f>
        <v>11011101000111000101010011010110</v>
      </c>
    </row>
    <row r="456" spans="1:12" x14ac:dyDescent="0.25">
      <c r="A456" s="7" t="s">
        <v>369</v>
      </c>
      <c r="B456" t="str" cm="1">
        <f t="array" ref="B456">BitsToHex(B455)</f>
        <v>DD1C54D6</v>
      </c>
    </row>
    <row r="457" spans="1:12" x14ac:dyDescent="0.25">
      <c r="A457" s="7"/>
    </row>
    <row r="458" spans="1:12" x14ac:dyDescent="0.25">
      <c r="A458" s="7" t="s">
        <v>374</v>
      </c>
      <c r="C458" s="28" t="s">
        <v>31</v>
      </c>
      <c r="D458" s="26" t="s">
        <v>183</v>
      </c>
      <c r="E458" s="7" t="s">
        <v>227</v>
      </c>
    </row>
    <row r="459" spans="1:12" x14ac:dyDescent="0.25">
      <c r="A459" s="7"/>
      <c r="C459" s="28"/>
      <c r="D459" s="26"/>
      <c r="E459" s="7"/>
      <c r="L459" s="16"/>
    </row>
    <row r="460" spans="1:12" x14ac:dyDescent="0.25">
      <c r="C460" s="27" t="str" cm="1">
        <f t="array" ref="C460">HexToBits(H439)</f>
        <v>10110011001100011001110100010010</v>
      </c>
      <c r="D460" s="26"/>
      <c r="E460" t="str">
        <f>B446</f>
        <v>11010100110001111010110010101100</v>
      </c>
    </row>
    <row r="461" spans="1:12" x14ac:dyDescent="0.25">
      <c r="A461" s="7" t="s">
        <v>374</v>
      </c>
      <c r="B461" t="str">
        <f>_xlfn.BASE(MOD(_xlfn.DECIMAL(C460,2) + _xlfn.DECIMAL(E460,2), 4294967296), 2, 32)</f>
        <v>10000111111110010100100110111110</v>
      </c>
      <c r="D461" s="16"/>
    </row>
    <row r="462" spans="1:12" x14ac:dyDescent="0.25">
      <c r="A462" s="7" t="s">
        <v>375</v>
      </c>
      <c r="B462" t="str" cm="1">
        <f t="array" ref="B462">BitsToHex(B461)</f>
        <v>87F949BE</v>
      </c>
      <c r="C462" s="28"/>
      <c r="D462" s="26"/>
      <c r="E462" s="7"/>
    </row>
    <row r="463" spans="1:12" x14ac:dyDescent="0.25">
      <c r="A463" s="7"/>
      <c r="C463" s="28"/>
      <c r="D463" s="26"/>
      <c r="E463" s="7"/>
    </row>
    <row r="464" spans="1:12" x14ac:dyDescent="0.25">
      <c r="A464" s="7" t="s">
        <v>376</v>
      </c>
      <c r="C464" s="28" t="s">
        <v>377</v>
      </c>
      <c r="D464" s="26" t="s">
        <v>183</v>
      </c>
      <c r="E464" s="7" t="s">
        <v>378</v>
      </c>
    </row>
    <row r="465" spans="1:13" x14ac:dyDescent="0.25">
      <c r="A465" s="7"/>
      <c r="C465" s="27" t="str">
        <f>B446</f>
        <v>11010100110001111010110010101100</v>
      </c>
      <c r="D465" s="16"/>
      <c r="E465" t="str">
        <f>B455</f>
        <v>11011101000111000101010011010110</v>
      </c>
    </row>
    <row r="466" spans="1:13" x14ac:dyDescent="0.25">
      <c r="A466" s="7"/>
      <c r="C466" s="28"/>
      <c r="D466" s="26"/>
      <c r="E466" s="7"/>
    </row>
    <row r="467" spans="1:13" x14ac:dyDescent="0.25">
      <c r="A467" s="7" t="s">
        <v>376</v>
      </c>
      <c r="B467" t="str">
        <f>_xlfn.BASE(MOD(_xlfn.DECIMAL(C465,2) + _xlfn.DECIMAL(E465,2), 4294967296), 2, 32)</f>
        <v>10110001111001000000000110000010</v>
      </c>
      <c r="C467" s="28"/>
      <c r="D467" s="26"/>
      <c r="E467" s="7"/>
    </row>
    <row r="468" spans="1:13" x14ac:dyDescent="0.25">
      <c r="A468" s="7" t="s">
        <v>375</v>
      </c>
      <c r="B468" t="str" cm="1">
        <f t="array" ref="B468">BitsToHex(B467)</f>
        <v>B1E40182</v>
      </c>
    </row>
    <row r="470" spans="1:13" x14ac:dyDescent="0.25">
      <c r="C470" s="27" t="s">
        <v>225</v>
      </c>
      <c r="E470" s="24" t="s">
        <v>8</v>
      </c>
      <c r="F470" s="24" t="s">
        <v>29</v>
      </c>
      <c r="G470" s="24" t="s">
        <v>30</v>
      </c>
      <c r="H470" s="24" t="s">
        <v>31</v>
      </c>
      <c r="I470" s="24" t="s">
        <v>221</v>
      </c>
      <c r="J470" s="24" t="s">
        <v>222</v>
      </c>
      <c r="K470" s="24" t="s">
        <v>34</v>
      </c>
      <c r="L470" s="24" t="s">
        <v>223</v>
      </c>
    </row>
    <row r="471" spans="1:13" x14ac:dyDescent="0.25">
      <c r="E471" s="24" t="str">
        <f>B468</f>
        <v>B1E40182</v>
      </c>
      <c r="F471" s="24" t="str">
        <f>E439</f>
        <v>A9911D4F</v>
      </c>
      <c r="G471" s="24" t="str">
        <f>F439</f>
        <v>DC641AF8</v>
      </c>
      <c r="H471" s="24" t="str">
        <f>G439</f>
        <v>9ABA5F11</v>
      </c>
      <c r="I471" s="24" t="str">
        <f>B462</f>
        <v>87F949BE</v>
      </c>
      <c r="J471" s="25" t="str">
        <f>I439</f>
        <v>765E0B59</v>
      </c>
      <c r="K471" s="24" t="str">
        <f>J439</f>
        <v>2263880D</v>
      </c>
      <c r="L471" s="24" t="str">
        <f>K439</f>
        <v>D4A34282</v>
      </c>
    </row>
    <row r="472" spans="1:13" x14ac:dyDescent="0.25">
      <c r="A472" s="2"/>
      <c r="B472" s="2"/>
      <c r="C472" s="30" t="s">
        <v>379</v>
      </c>
      <c r="D472" s="2">
        <v>13</v>
      </c>
      <c r="E472" s="2"/>
      <c r="F472" s="2"/>
      <c r="G472" s="2"/>
      <c r="H472" s="2"/>
      <c r="I472" s="2"/>
      <c r="J472" s="2"/>
      <c r="K472" s="2"/>
      <c r="L472" s="2"/>
      <c r="M472" s="2"/>
    </row>
    <row r="473" spans="1:13" x14ac:dyDescent="0.25">
      <c r="D473" t="s">
        <v>380</v>
      </c>
      <c r="E473">
        <f>D472+1</f>
        <v>14</v>
      </c>
    </row>
    <row r="474" spans="1:13" x14ac:dyDescent="0.25">
      <c r="C474" s="27" t="s">
        <v>224</v>
      </c>
      <c r="E474" s="24" t="s">
        <v>8</v>
      </c>
      <c r="F474" s="24" t="s">
        <v>29</v>
      </c>
      <c r="G474" s="24" t="s">
        <v>30</v>
      </c>
      <c r="H474" s="24" t="s">
        <v>31</v>
      </c>
      <c r="I474" s="24" t="s">
        <v>221</v>
      </c>
      <c r="J474" s="24" t="s">
        <v>222</v>
      </c>
      <c r="K474" s="24" t="s">
        <v>34</v>
      </c>
      <c r="L474" s="24" t="s">
        <v>223</v>
      </c>
    </row>
    <row r="475" spans="1:13" x14ac:dyDescent="0.25">
      <c r="E475" s="24" t="str">
        <f t="shared" ref="E475:L475" si="13">E471</f>
        <v>B1E40182</v>
      </c>
      <c r="F475" s="24" t="str">
        <f t="shared" si="13"/>
        <v>A9911D4F</v>
      </c>
      <c r="G475" s="24" t="str">
        <f t="shared" si="13"/>
        <v>DC641AF8</v>
      </c>
      <c r="H475" s="24" t="str">
        <f t="shared" si="13"/>
        <v>9ABA5F11</v>
      </c>
      <c r="I475" s="25" t="str">
        <f t="shared" si="13"/>
        <v>87F949BE</v>
      </c>
      <c r="J475" s="24" t="str">
        <f t="shared" si="13"/>
        <v>765E0B59</v>
      </c>
      <c r="K475" s="24" t="str">
        <f t="shared" si="13"/>
        <v>2263880D</v>
      </c>
      <c r="L475" s="24" t="str">
        <f t="shared" si="13"/>
        <v>D4A34282</v>
      </c>
    </row>
    <row r="477" spans="1:13" x14ac:dyDescent="0.25">
      <c r="A477" s="7" t="s">
        <v>363</v>
      </c>
      <c r="B477" s="7"/>
      <c r="C477" s="28" t="s">
        <v>223</v>
      </c>
      <c r="D477" s="26" t="s">
        <v>183</v>
      </c>
      <c r="E477" s="8" t="s">
        <v>365</v>
      </c>
      <c r="F477" s="26" t="s">
        <v>183</v>
      </c>
      <c r="G477" s="8" t="s">
        <v>366</v>
      </c>
      <c r="H477" s="26" t="s">
        <v>183</v>
      </c>
      <c r="I477" s="8" t="s">
        <v>367</v>
      </c>
      <c r="J477" s="26" t="s">
        <v>183</v>
      </c>
      <c r="K477" s="8" t="s">
        <v>368</v>
      </c>
    </row>
    <row r="478" spans="1:13" x14ac:dyDescent="0.25">
      <c r="A478" s="7"/>
    </row>
    <row r="479" spans="1:13" x14ac:dyDescent="0.25">
      <c r="A479" s="7"/>
      <c r="C479" s="27" t="str">
        <f>L475</f>
        <v>D4A34282</v>
      </c>
      <c r="E479" t="str" cm="1">
        <f t="array" ref="E479">BSIG1_H(I475)</f>
        <v>316BC54C</v>
      </c>
      <c r="G479" t="str" cm="1">
        <f t="array" ref="G479">CH_H(I475,J475,K475)</f>
        <v>265A8919</v>
      </c>
      <c r="I479" t="str" cm="1">
        <f t="array" ref="I479">INDEX(Folha3!$C$15:$J$22,IF(MOD(E473,8)=0,0,1)+INT(E473/8),1+MOD(E473-1,8))</f>
        <v>80deb1fe</v>
      </c>
      <c r="K479" t="str" cm="1">
        <f t="array" ref="K479">INDEX(Folha3!$C$38:$BN$38,1,E473)</f>
        <v>00000000</v>
      </c>
    </row>
    <row r="480" spans="1:13" x14ac:dyDescent="0.25">
      <c r="A480" s="7" t="s">
        <v>370</v>
      </c>
      <c r="C480" s="27" t="str" cm="1">
        <f t="array" ref="C480">HexToBits(C479)</f>
        <v>11010100101000110100001010000010</v>
      </c>
      <c r="E480" t="str" cm="1">
        <f t="array" ref="E480">HexToBits(E479)</f>
        <v>00110001011010111100010101001100</v>
      </c>
      <c r="G480" t="str" cm="1">
        <f t="array" ref="G480">HexToBits(G479)</f>
        <v>00100110010110101000100100011001</v>
      </c>
      <c r="I480" t="str" cm="1">
        <f t="array" ref="I480">HexToBits(I479)</f>
        <v>10000000110111101011000111111110</v>
      </c>
      <c r="K480" t="str" cm="1">
        <f t="array" ref="K480">HexToBits(K479)</f>
        <v>00000000000000000000000000000000</v>
      </c>
    </row>
    <row r="481" spans="1:12" x14ac:dyDescent="0.25">
      <c r="A481" s="7"/>
    </row>
    <row r="482" spans="1:12" x14ac:dyDescent="0.25">
      <c r="A482" s="7" t="s">
        <v>364</v>
      </c>
      <c r="B482" t="str">
        <f>_xlfn.BASE(
  (_xlfn.DECIMAL(C480,2)+_xlfn.DECIMAL(E480,2)+_xlfn.DECIMAL(G480,2)+_xlfn.DECIMAL(I480,2)+_xlfn.DECIMAL(K480,2))
  - (INT((_xlfn.DECIMAL(C480,2)+_xlfn.DECIMAL(E480,2)+_xlfn.DECIMAL(G480,2)+_xlfn.DECIMAL(I480,2)+_xlfn.DECIMAL(K480,2)) / 4294967296) * 4294967296),
  2,
  32
)</f>
        <v>10101101010010000100001011100101</v>
      </c>
    </row>
    <row r="483" spans="1:12" x14ac:dyDescent="0.25">
      <c r="A483" s="7" t="s">
        <v>369</v>
      </c>
      <c r="B483" t="str" cm="1">
        <f t="array" ref="B483">BitsToHex(B482)</f>
        <v>AD4842E5</v>
      </c>
    </row>
    <row r="486" spans="1:12" x14ac:dyDescent="0.25">
      <c r="A486" s="7" t="s">
        <v>373</v>
      </c>
      <c r="B486" s="7"/>
      <c r="C486" s="29" t="s">
        <v>371</v>
      </c>
      <c r="D486" s="26" t="s">
        <v>183</v>
      </c>
      <c r="E486" s="8" t="s">
        <v>372</v>
      </c>
      <c r="J486" s="32"/>
    </row>
    <row r="487" spans="1:12" x14ac:dyDescent="0.25">
      <c r="A487" s="7"/>
    </row>
    <row r="488" spans="1:12" x14ac:dyDescent="0.25">
      <c r="A488" s="7"/>
      <c r="C488" s="27" t="str" cm="1">
        <f t="array" ref="C488">BSIG0_H(E475)</f>
        <v>306A8587</v>
      </c>
      <c r="E488" t="str" cm="1">
        <f t="array" ref="E488">MAJ_H(E475,F475,G475)</f>
        <v>B9E419CA</v>
      </c>
    </row>
    <row r="489" spans="1:12" x14ac:dyDescent="0.25">
      <c r="A489" s="7" t="s">
        <v>370</v>
      </c>
      <c r="C489" s="27" t="str" cm="1">
        <f t="array" ref="C489">HexToBits(C488)</f>
        <v>00110000011010101000010110000111</v>
      </c>
      <c r="E489" t="str" cm="1">
        <f t="array" ref="E489">HexToBits(E488)</f>
        <v>10111001111001000001100111001010</v>
      </c>
    </row>
    <row r="490" spans="1:12" x14ac:dyDescent="0.25">
      <c r="A490" s="7"/>
    </row>
    <row r="491" spans="1:12" x14ac:dyDescent="0.25">
      <c r="A491" s="7" t="s">
        <v>373</v>
      </c>
      <c r="B491" t="str">
        <f>_xlfn.BASE(MOD(_xlfn.DECIMAL(C489,2) + _xlfn.DECIMAL(E489,2), 4294967296), 2, 32)</f>
        <v>11101010010011101001111101010001</v>
      </c>
    </row>
    <row r="492" spans="1:12" x14ac:dyDescent="0.25">
      <c r="A492" s="7" t="s">
        <v>369</v>
      </c>
      <c r="B492" t="str" cm="1">
        <f t="array" ref="B492">BitsToHex(B491)</f>
        <v>EA4E9F51</v>
      </c>
    </row>
    <row r="493" spans="1:12" x14ac:dyDescent="0.25">
      <c r="A493" s="7"/>
    </row>
    <row r="494" spans="1:12" x14ac:dyDescent="0.25">
      <c r="A494" s="7" t="s">
        <v>374</v>
      </c>
      <c r="C494" s="28" t="s">
        <v>31</v>
      </c>
      <c r="D494" s="26" t="s">
        <v>183</v>
      </c>
      <c r="E494" s="7" t="s">
        <v>227</v>
      </c>
    </row>
    <row r="495" spans="1:12" x14ac:dyDescent="0.25">
      <c r="A495" s="7"/>
      <c r="C495" s="28"/>
      <c r="D495" s="26"/>
      <c r="E495" s="7"/>
      <c r="L495" s="16"/>
    </row>
    <row r="496" spans="1:12" x14ac:dyDescent="0.25">
      <c r="C496" s="27" t="str" cm="1">
        <f t="array" ref="C496">HexToBits(H475)</f>
        <v>10011010101110100101111100010001</v>
      </c>
      <c r="D496" s="26"/>
      <c r="E496" t="str">
        <f>B482</f>
        <v>10101101010010000100001011100101</v>
      </c>
    </row>
    <row r="497" spans="1:13" x14ac:dyDescent="0.25">
      <c r="A497" s="7" t="s">
        <v>374</v>
      </c>
      <c r="B497" t="str">
        <f>_xlfn.BASE(MOD(_xlfn.DECIMAL(C496,2) + _xlfn.DECIMAL(E496,2), 4294967296), 2, 32)</f>
        <v>01001000000000101010000111110110</v>
      </c>
      <c r="D497" s="16"/>
    </row>
    <row r="498" spans="1:13" x14ac:dyDescent="0.25">
      <c r="A498" s="7" t="s">
        <v>375</v>
      </c>
      <c r="B498" t="str" cm="1">
        <f t="array" ref="B498">BitsToHex(B497)</f>
        <v>4802A1F6</v>
      </c>
      <c r="C498" s="28"/>
      <c r="D498" s="26"/>
      <c r="E498" s="7"/>
    </row>
    <row r="499" spans="1:13" x14ac:dyDescent="0.25">
      <c r="A499" s="7"/>
      <c r="C499" s="28"/>
      <c r="D499" s="26"/>
      <c r="E499" s="7"/>
    </row>
    <row r="500" spans="1:13" x14ac:dyDescent="0.25">
      <c r="A500" s="7" t="s">
        <v>376</v>
      </c>
      <c r="C500" s="28" t="s">
        <v>377</v>
      </c>
      <c r="D500" s="26" t="s">
        <v>183</v>
      </c>
      <c r="E500" s="7" t="s">
        <v>378</v>
      </c>
    </row>
    <row r="501" spans="1:13" x14ac:dyDescent="0.25">
      <c r="A501" s="7"/>
      <c r="C501" s="27" t="str">
        <f>B482</f>
        <v>10101101010010000100001011100101</v>
      </c>
      <c r="D501" s="16"/>
      <c r="E501" t="str">
        <f>B491</f>
        <v>11101010010011101001111101010001</v>
      </c>
    </row>
    <row r="502" spans="1:13" x14ac:dyDescent="0.25">
      <c r="A502" s="7"/>
      <c r="C502" s="28"/>
      <c r="D502" s="26"/>
      <c r="E502" s="7"/>
    </row>
    <row r="503" spans="1:13" x14ac:dyDescent="0.25">
      <c r="A503" s="7" t="s">
        <v>376</v>
      </c>
      <c r="B503" t="str">
        <f>_xlfn.BASE(MOD(_xlfn.DECIMAL(C501,2) + _xlfn.DECIMAL(E501,2), 4294967296), 2, 32)</f>
        <v>10010111100101101110001000110110</v>
      </c>
      <c r="C503" s="28"/>
      <c r="D503" s="26"/>
      <c r="E503" s="7"/>
    </row>
    <row r="504" spans="1:13" x14ac:dyDescent="0.25">
      <c r="A504" s="7" t="s">
        <v>375</v>
      </c>
      <c r="B504" t="str" cm="1">
        <f t="array" ref="B504">BitsToHex(B503)</f>
        <v>9796E236</v>
      </c>
    </row>
    <row r="506" spans="1:13" x14ac:dyDescent="0.25">
      <c r="C506" s="27" t="s">
        <v>225</v>
      </c>
      <c r="E506" s="24" t="s">
        <v>8</v>
      </c>
      <c r="F506" s="24" t="s">
        <v>29</v>
      </c>
      <c r="G506" s="24" t="s">
        <v>30</v>
      </c>
      <c r="H506" s="24" t="s">
        <v>31</v>
      </c>
      <c r="I506" s="24" t="s">
        <v>221</v>
      </c>
      <c r="J506" s="24" t="s">
        <v>222</v>
      </c>
      <c r="K506" s="24" t="s">
        <v>34</v>
      </c>
      <c r="L506" s="24" t="s">
        <v>223</v>
      </c>
    </row>
    <row r="507" spans="1:13" x14ac:dyDescent="0.25">
      <c r="E507" s="24" t="str">
        <f>B504</f>
        <v>9796E236</v>
      </c>
      <c r="F507" s="24" t="str">
        <f>E475</f>
        <v>B1E40182</v>
      </c>
      <c r="G507" s="24" t="str">
        <f>F475</f>
        <v>A9911D4F</v>
      </c>
      <c r="H507" s="24" t="str">
        <f>G475</f>
        <v>DC641AF8</v>
      </c>
      <c r="I507" s="24" t="str">
        <f>B498</f>
        <v>4802A1F6</v>
      </c>
      <c r="J507" s="25" t="str">
        <f>I475</f>
        <v>87F949BE</v>
      </c>
      <c r="K507" s="24" t="str">
        <f>J475</f>
        <v>765E0B59</v>
      </c>
      <c r="L507" s="24" t="str">
        <f>K475</f>
        <v>2263880D</v>
      </c>
    </row>
    <row r="508" spans="1:13" x14ac:dyDescent="0.25">
      <c r="A508" s="2"/>
      <c r="B508" s="2"/>
      <c r="C508" s="30" t="s">
        <v>379</v>
      </c>
      <c r="D508" s="2">
        <v>14</v>
      </c>
      <c r="E508" s="2"/>
      <c r="F508" s="2"/>
      <c r="G508" s="2"/>
      <c r="H508" s="2"/>
      <c r="I508" s="2"/>
      <c r="J508" s="2"/>
      <c r="K508" s="2"/>
      <c r="L508" s="2"/>
      <c r="M508" s="2"/>
    </row>
    <row r="509" spans="1:13" x14ac:dyDescent="0.25">
      <c r="D509" t="s">
        <v>380</v>
      </c>
      <c r="E509">
        <f>D508+1</f>
        <v>15</v>
      </c>
    </row>
    <row r="510" spans="1:13" x14ac:dyDescent="0.25">
      <c r="C510" s="27" t="s">
        <v>224</v>
      </c>
      <c r="E510" s="24" t="s">
        <v>8</v>
      </c>
      <c r="F510" s="24" t="s">
        <v>29</v>
      </c>
      <c r="G510" s="24" t="s">
        <v>30</v>
      </c>
      <c r="H510" s="24" t="s">
        <v>31</v>
      </c>
      <c r="I510" s="24" t="s">
        <v>221</v>
      </c>
      <c r="J510" s="24" t="s">
        <v>222</v>
      </c>
      <c r="K510" s="24" t="s">
        <v>34</v>
      </c>
      <c r="L510" s="24" t="s">
        <v>223</v>
      </c>
    </row>
    <row r="511" spans="1:13" x14ac:dyDescent="0.25">
      <c r="E511" s="24" t="str">
        <f t="shared" ref="E511:L511" si="14">E507</f>
        <v>9796E236</v>
      </c>
      <c r="F511" s="24" t="str">
        <f t="shared" si="14"/>
        <v>B1E40182</v>
      </c>
      <c r="G511" s="24" t="str">
        <f t="shared" si="14"/>
        <v>A9911D4F</v>
      </c>
      <c r="H511" s="24" t="str">
        <f t="shared" si="14"/>
        <v>DC641AF8</v>
      </c>
      <c r="I511" s="25" t="str">
        <f t="shared" si="14"/>
        <v>4802A1F6</v>
      </c>
      <c r="J511" s="24" t="str">
        <f t="shared" si="14"/>
        <v>87F949BE</v>
      </c>
      <c r="K511" s="24" t="str">
        <f t="shared" si="14"/>
        <v>765E0B59</v>
      </c>
      <c r="L511" s="24" t="str">
        <f t="shared" si="14"/>
        <v>2263880D</v>
      </c>
    </row>
    <row r="513" spans="1:11" x14ac:dyDescent="0.25">
      <c r="A513" s="7" t="s">
        <v>363</v>
      </c>
      <c r="B513" s="7"/>
      <c r="C513" s="28" t="s">
        <v>223</v>
      </c>
      <c r="D513" s="26" t="s">
        <v>183</v>
      </c>
      <c r="E513" s="8" t="s">
        <v>365</v>
      </c>
      <c r="F513" s="26" t="s">
        <v>183</v>
      </c>
      <c r="G513" s="8" t="s">
        <v>366</v>
      </c>
      <c r="H513" s="26" t="s">
        <v>183</v>
      </c>
      <c r="I513" s="8" t="s">
        <v>367</v>
      </c>
      <c r="J513" s="26" t="s">
        <v>183</v>
      </c>
      <c r="K513" s="8" t="s">
        <v>368</v>
      </c>
    </row>
    <row r="514" spans="1:11" x14ac:dyDescent="0.25">
      <c r="A514" s="7"/>
    </row>
    <row r="515" spans="1:11" x14ac:dyDescent="0.25">
      <c r="A515" s="7"/>
      <c r="C515" s="27" t="str">
        <f>L511</f>
        <v>2263880D</v>
      </c>
      <c r="E515" t="str" cm="1">
        <f t="array" ref="E515">BSIG1_H(I511)</f>
        <v>E6B9F1F7</v>
      </c>
      <c r="G515" t="str" cm="1">
        <f t="array" ref="G515">CH_H(I511,J511,K511)</f>
        <v>365C0BBF</v>
      </c>
      <c r="I515" t="str" cm="1">
        <f t="array" ref="I515">INDEX(Folha3!$C$15:$J$22,IF(MOD(E509,8)=0,0,1)+INT(E509/8),1+MOD(E509-1,8))</f>
        <v>9bdc06a7</v>
      </c>
      <c r="K515" t="str" cm="1">
        <f t="array" ref="K515">INDEX(Folha3!$C$38:$BN$38,1,E509)</f>
        <v>00000000</v>
      </c>
    </row>
    <row r="516" spans="1:11" x14ac:dyDescent="0.25">
      <c r="A516" s="7" t="s">
        <v>370</v>
      </c>
      <c r="C516" s="27" t="str" cm="1">
        <f t="array" ref="C516">HexToBits(C515)</f>
        <v>00100010011000111000100000001101</v>
      </c>
      <c r="E516" t="str" cm="1">
        <f t="array" ref="E516">HexToBits(E515)</f>
        <v>11100110101110011111000111110111</v>
      </c>
      <c r="G516" t="str" cm="1">
        <f t="array" ref="G516">HexToBits(G515)</f>
        <v>00110110010111000000101110111111</v>
      </c>
      <c r="I516" t="str" cm="1">
        <f t="array" ref="I516">HexToBits(I515)</f>
        <v>10011011110111000000011010100111</v>
      </c>
      <c r="K516" t="str" cm="1">
        <f t="array" ref="K516">HexToBits(K515)</f>
        <v>00000000000000000000000000000000</v>
      </c>
    </row>
    <row r="517" spans="1:11" x14ac:dyDescent="0.25">
      <c r="A517" s="7"/>
    </row>
    <row r="518" spans="1:11" x14ac:dyDescent="0.25">
      <c r="A518" s="7" t="s">
        <v>364</v>
      </c>
      <c r="B518" t="str">
        <f>_xlfn.BASE(
  (_xlfn.DECIMAL(C516,2)+_xlfn.DECIMAL(E516,2)+_xlfn.DECIMAL(G516,2)+_xlfn.DECIMAL(I516,2)+_xlfn.DECIMAL(K516,2))
  - (INT((_xlfn.DECIMAL(C516,2)+_xlfn.DECIMAL(E516,2)+_xlfn.DECIMAL(G516,2)+_xlfn.DECIMAL(I516,2)+_xlfn.DECIMAL(K516,2)) / 4294967296) * 4294967296),
  2,
  32
)</f>
        <v>11011011010101011000110001101010</v>
      </c>
    </row>
    <row r="519" spans="1:11" x14ac:dyDescent="0.25">
      <c r="A519" s="7" t="s">
        <v>369</v>
      </c>
      <c r="B519" t="str" cm="1">
        <f t="array" ref="B519">BitsToHex(B518)</f>
        <v>DB558C6A</v>
      </c>
    </row>
    <row r="522" spans="1:11" x14ac:dyDescent="0.25">
      <c r="A522" s="7" t="s">
        <v>373</v>
      </c>
      <c r="B522" s="7"/>
      <c r="C522" s="29" t="s">
        <v>371</v>
      </c>
      <c r="D522" s="26" t="s">
        <v>183</v>
      </c>
      <c r="E522" s="8" t="s">
        <v>372</v>
      </c>
      <c r="J522" s="32"/>
    </row>
    <row r="523" spans="1:11" x14ac:dyDescent="0.25">
      <c r="A523" s="7"/>
    </row>
    <row r="524" spans="1:11" x14ac:dyDescent="0.25">
      <c r="A524" s="7"/>
      <c r="C524" s="27" t="str" cm="1">
        <f t="array" ref="C524">BSIG0_H(E511)</f>
        <v>EFD9DE64</v>
      </c>
      <c r="E524" t="str" cm="1">
        <f t="array" ref="E524">MAJ_H(E511,F511,G511)</f>
        <v>B1940106</v>
      </c>
    </row>
    <row r="525" spans="1:11" x14ac:dyDescent="0.25">
      <c r="A525" s="7" t="s">
        <v>370</v>
      </c>
      <c r="C525" s="27" t="str" cm="1">
        <f t="array" ref="C525">HexToBits(C524)</f>
        <v>11101111110110011101111001100100</v>
      </c>
      <c r="E525" t="str" cm="1">
        <f t="array" ref="E525">HexToBits(E524)</f>
        <v>10110001100101000000000100000110</v>
      </c>
    </row>
    <row r="526" spans="1:11" x14ac:dyDescent="0.25">
      <c r="A526" s="7"/>
    </row>
    <row r="527" spans="1:11" x14ac:dyDescent="0.25">
      <c r="A527" s="7" t="s">
        <v>373</v>
      </c>
      <c r="B527" t="str">
        <f>_xlfn.BASE(MOD(_xlfn.DECIMAL(C525,2) + _xlfn.DECIMAL(E525,2), 4294967296), 2, 32)</f>
        <v>10100001011011011101111101101010</v>
      </c>
    </row>
    <row r="528" spans="1:11" x14ac:dyDescent="0.25">
      <c r="A528" s="7" t="s">
        <v>369</v>
      </c>
      <c r="B528" t="str" cm="1">
        <f t="array" ref="B528">BitsToHex(B527)</f>
        <v>A16DDF6A</v>
      </c>
    </row>
    <row r="529" spans="1:13" x14ac:dyDescent="0.25">
      <c r="A529" s="7"/>
    </row>
    <row r="530" spans="1:13" x14ac:dyDescent="0.25">
      <c r="A530" s="7" t="s">
        <v>374</v>
      </c>
      <c r="C530" s="28" t="s">
        <v>31</v>
      </c>
      <c r="D530" s="26" t="s">
        <v>183</v>
      </c>
      <c r="E530" s="7" t="s">
        <v>227</v>
      </c>
    </row>
    <row r="531" spans="1:13" x14ac:dyDescent="0.25">
      <c r="A531" s="7"/>
      <c r="C531" s="28"/>
      <c r="D531" s="26"/>
      <c r="E531" s="7"/>
      <c r="L531" s="16"/>
    </row>
    <row r="532" spans="1:13" x14ac:dyDescent="0.25">
      <c r="C532" s="27" t="str" cm="1">
        <f t="array" ref="C532">HexToBits(H511)</f>
        <v>11011100011001000001101011111000</v>
      </c>
      <c r="D532" s="26"/>
      <c r="E532" t="str">
        <f>B518</f>
        <v>11011011010101011000110001101010</v>
      </c>
    </row>
    <row r="533" spans="1:13" x14ac:dyDescent="0.25">
      <c r="A533" s="7" t="s">
        <v>374</v>
      </c>
      <c r="B533" t="str">
        <f>_xlfn.BASE(MOD(_xlfn.DECIMAL(C532,2) + _xlfn.DECIMAL(E532,2), 4294967296), 2, 32)</f>
        <v>10110111101110011010011101100010</v>
      </c>
      <c r="D533" s="16"/>
    </row>
    <row r="534" spans="1:13" x14ac:dyDescent="0.25">
      <c r="A534" s="7" t="s">
        <v>375</v>
      </c>
      <c r="B534" t="str" cm="1">
        <f t="array" ref="B534">BitsToHex(B533)</f>
        <v>B7B9A762</v>
      </c>
      <c r="C534" s="28"/>
      <c r="D534" s="26"/>
      <c r="E534" s="7"/>
    </row>
    <row r="535" spans="1:13" x14ac:dyDescent="0.25">
      <c r="A535" s="7"/>
      <c r="C535" s="28"/>
      <c r="D535" s="26"/>
      <c r="E535" s="7"/>
    </row>
    <row r="536" spans="1:13" x14ac:dyDescent="0.25">
      <c r="A536" s="7" t="s">
        <v>376</v>
      </c>
      <c r="C536" s="28" t="s">
        <v>377</v>
      </c>
      <c r="D536" s="26" t="s">
        <v>183</v>
      </c>
      <c r="E536" s="7" t="s">
        <v>378</v>
      </c>
    </row>
    <row r="537" spans="1:13" x14ac:dyDescent="0.25">
      <c r="A537" s="7"/>
      <c r="C537" s="27" t="str">
        <f>B518</f>
        <v>11011011010101011000110001101010</v>
      </c>
      <c r="D537" s="16"/>
      <c r="E537" t="str">
        <f>B527</f>
        <v>10100001011011011101111101101010</v>
      </c>
    </row>
    <row r="538" spans="1:13" x14ac:dyDescent="0.25">
      <c r="A538" s="7"/>
      <c r="C538" s="28"/>
      <c r="D538" s="26"/>
      <c r="E538" s="7"/>
    </row>
    <row r="539" spans="1:13" x14ac:dyDescent="0.25">
      <c r="A539" s="7" t="s">
        <v>376</v>
      </c>
      <c r="B539" t="str">
        <f>_xlfn.BASE(MOD(_xlfn.DECIMAL(C537,2) + _xlfn.DECIMAL(E537,2), 4294967296), 2, 32)</f>
        <v>01111100110000110110101111010100</v>
      </c>
      <c r="C539" s="28"/>
      <c r="D539" s="26"/>
      <c r="E539" s="7"/>
    </row>
    <row r="540" spans="1:13" x14ac:dyDescent="0.25">
      <c r="A540" s="7" t="s">
        <v>375</v>
      </c>
      <c r="B540" t="str" cm="1">
        <f t="array" ref="B540">BitsToHex(B539)</f>
        <v>7CC36BD4</v>
      </c>
    </row>
    <row r="542" spans="1:13" x14ac:dyDescent="0.25">
      <c r="C542" s="27" t="s">
        <v>225</v>
      </c>
      <c r="E542" s="24" t="s">
        <v>8</v>
      </c>
      <c r="F542" s="24" t="s">
        <v>29</v>
      </c>
      <c r="G542" s="24" t="s">
        <v>30</v>
      </c>
      <c r="H542" s="24" t="s">
        <v>31</v>
      </c>
      <c r="I542" s="24" t="s">
        <v>221</v>
      </c>
      <c r="J542" s="24" t="s">
        <v>222</v>
      </c>
      <c r="K542" s="24" t="s">
        <v>34</v>
      </c>
      <c r="L542" s="24" t="s">
        <v>223</v>
      </c>
    </row>
    <row r="543" spans="1:13" x14ac:dyDescent="0.25">
      <c r="E543" s="24" t="str">
        <f>B540</f>
        <v>7CC36BD4</v>
      </c>
      <c r="F543" s="24" t="str">
        <f>E511</f>
        <v>9796E236</v>
      </c>
      <c r="G543" s="24" t="str">
        <f>F511</f>
        <v>B1E40182</v>
      </c>
      <c r="H543" s="24" t="str">
        <f>G511</f>
        <v>A9911D4F</v>
      </c>
      <c r="I543" s="24" t="str">
        <f>B534</f>
        <v>B7B9A762</v>
      </c>
      <c r="J543" s="25" t="str">
        <f>I511</f>
        <v>4802A1F6</v>
      </c>
      <c r="K543" s="24" t="str">
        <f>J511</f>
        <v>87F949BE</v>
      </c>
      <c r="L543" s="24" t="str">
        <f>K511</f>
        <v>765E0B59</v>
      </c>
    </row>
    <row r="544" spans="1:13" x14ac:dyDescent="0.25">
      <c r="A544" s="2"/>
      <c r="B544" s="2"/>
      <c r="C544" s="30" t="s">
        <v>379</v>
      </c>
      <c r="D544" s="2">
        <v>15</v>
      </c>
      <c r="E544" s="2"/>
      <c r="F544" s="2"/>
      <c r="G544" s="2"/>
      <c r="H544" s="2"/>
      <c r="I544" s="2"/>
      <c r="J544" s="2"/>
      <c r="K544" s="2"/>
      <c r="L544" s="2"/>
      <c r="M544" s="2"/>
    </row>
    <row r="545" spans="1:12" x14ac:dyDescent="0.25">
      <c r="D545" t="s">
        <v>380</v>
      </c>
      <c r="E545">
        <f>D544+1</f>
        <v>16</v>
      </c>
    </row>
    <row r="546" spans="1:12" x14ac:dyDescent="0.25">
      <c r="C546" s="27" t="s">
        <v>224</v>
      </c>
      <c r="E546" s="24" t="s">
        <v>8</v>
      </c>
      <c r="F546" s="24" t="s">
        <v>29</v>
      </c>
      <c r="G546" s="24" t="s">
        <v>30</v>
      </c>
      <c r="H546" s="24" t="s">
        <v>31</v>
      </c>
      <c r="I546" s="24" t="s">
        <v>221</v>
      </c>
      <c r="J546" s="24" t="s">
        <v>222</v>
      </c>
      <c r="K546" s="24" t="s">
        <v>34</v>
      </c>
      <c r="L546" s="24" t="s">
        <v>223</v>
      </c>
    </row>
    <row r="547" spans="1:12" x14ac:dyDescent="0.25">
      <c r="E547" s="24" t="str">
        <f t="shared" ref="E547:L547" si="15">E543</f>
        <v>7CC36BD4</v>
      </c>
      <c r="F547" s="24" t="str">
        <f t="shared" si="15"/>
        <v>9796E236</v>
      </c>
      <c r="G547" s="24" t="str">
        <f t="shared" si="15"/>
        <v>B1E40182</v>
      </c>
      <c r="H547" s="24" t="str">
        <f t="shared" si="15"/>
        <v>A9911D4F</v>
      </c>
      <c r="I547" s="25" t="str">
        <f t="shared" si="15"/>
        <v>B7B9A762</v>
      </c>
      <c r="J547" s="24" t="str">
        <f t="shared" si="15"/>
        <v>4802A1F6</v>
      </c>
      <c r="K547" s="24" t="str">
        <f t="shared" si="15"/>
        <v>87F949BE</v>
      </c>
      <c r="L547" s="24" t="str">
        <f t="shared" si="15"/>
        <v>765E0B59</v>
      </c>
    </row>
    <row r="549" spans="1:12" x14ac:dyDescent="0.25">
      <c r="A549" s="7" t="s">
        <v>363</v>
      </c>
      <c r="B549" s="7"/>
      <c r="C549" s="28" t="s">
        <v>223</v>
      </c>
      <c r="D549" s="26" t="s">
        <v>183</v>
      </c>
      <c r="E549" s="8" t="s">
        <v>365</v>
      </c>
      <c r="F549" s="26" t="s">
        <v>183</v>
      </c>
      <c r="G549" s="8" t="s">
        <v>366</v>
      </c>
      <c r="H549" s="26" t="s">
        <v>183</v>
      </c>
      <c r="I549" s="8" t="s">
        <v>367</v>
      </c>
      <c r="J549" s="26" t="s">
        <v>183</v>
      </c>
      <c r="K549" s="8" t="s">
        <v>368</v>
      </c>
    </row>
    <row r="550" spans="1:12" x14ac:dyDescent="0.25">
      <c r="A550" s="7"/>
    </row>
    <row r="551" spans="1:12" x14ac:dyDescent="0.25">
      <c r="A551" s="7"/>
      <c r="C551" s="27" t="str">
        <f>L547</f>
        <v>765E0B59</v>
      </c>
      <c r="E551" t="str" cm="1">
        <f t="array" ref="E551">BSIG1_H(I547)</f>
        <v>BA5BA0F2</v>
      </c>
      <c r="G551" t="str" cm="1">
        <f t="array" ref="G551">CH_H(I547,J547,K547)</f>
        <v>0040E9FE</v>
      </c>
      <c r="I551" t="str" cm="1">
        <f t="array" ref="I551">INDEX(Folha3!$C$15:$J$22,IF(MOD(E545,8)=0,0,1)+INT(E545/8),1+MOD(E545-1,8))</f>
        <v>c19bf174</v>
      </c>
      <c r="K551" t="str" cm="1">
        <f t="array" ref="K551">INDEX(Folha3!$C$38:$BN$38,1,E545)</f>
        <v>00000028</v>
      </c>
    </row>
    <row r="552" spans="1:12" x14ac:dyDescent="0.25">
      <c r="A552" s="7" t="s">
        <v>370</v>
      </c>
      <c r="C552" s="27" t="str" cm="1">
        <f t="array" ref="C552">HexToBits(C551)</f>
        <v>01110110010111100000101101011001</v>
      </c>
      <c r="E552" t="str" cm="1">
        <f t="array" ref="E552">HexToBits(E551)</f>
        <v>10111010010110111010000011110010</v>
      </c>
      <c r="G552" t="str" cm="1">
        <f t="array" ref="G552">HexToBits(G551)</f>
        <v>00000000010000001110100111111110</v>
      </c>
      <c r="I552" t="str" cm="1">
        <f t="array" ref="I552">HexToBits(I551)</f>
        <v>11000001100110111111000101110100</v>
      </c>
      <c r="K552" t="str" cm="1">
        <f t="array" ref="K552">HexToBits(K551)</f>
        <v>00000000000000000000000000101000</v>
      </c>
    </row>
    <row r="553" spans="1:12" x14ac:dyDescent="0.25">
      <c r="A553" s="7"/>
    </row>
    <row r="554" spans="1:12" x14ac:dyDescent="0.25">
      <c r="A554" s="7" t="s">
        <v>364</v>
      </c>
      <c r="B554" t="str">
        <f>_xlfn.BASE(
  (_xlfn.DECIMAL(C552,2)+_xlfn.DECIMAL(E552,2)+_xlfn.DECIMAL(G552,2)+_xlfn.DECIMAL(I552,2)+_xlfn.DECIMAL(K552,2))
  - (INT((_xlfn.DECIMAL(C552,2)+_xlfn.DECIMAL(E552,2)+_xlfn.DECIMAL(G552,2)+_xlfn.DECIMAL(I552,2)+_xlfn.DECIMAL(K552,2)) / 4294967296) * 4294967296),
  2,
  32
)</f>
        <v>11110010100101101000011111100101</v>
      </c>
    </row>
    <row r="555" spans="1:12" x14ac:dyDescent="0.25">
      <c r="A555" s="7" t="s">
        <v>369</v>
      </c>
      <c r="B555" t="str" cm="1">
        <f t="array" ref="B555">BitsToHex(B554)</f>
        <v>F29687E5</v>
      </c>
    </row>
    <row r="558" spans="1:12" x14ac:dyDescent="0.25">
      <c r="A558" s="7" t="s">
        <v>373</v>
      </c>
      <c r="B558" s="7"/>
      <c r="C558" s="29" t="s">
        <v>371</v>
      </c>
      <c r="D558" s="26" t="s">
        <v>183</v>
      </c>
      <c r="E558" s="8" t="s">
        <v>372</v>
      </c>
      <c r="J558" s="32"/>
    </row>
    <row r="559" spans="1:12" x14ac:dyDescent="0.25">
      <c r="A559" s="7"/>
    </row>
    <row r="560" spans="1:12" x14ac:dyDescent="0.25">
      <c r="A560" s="7"/>
      <c r="C560" s="27" t="str" cm="1">
        <f t="array" ref="C560">BSIG0_H(E547)</f>
        <v>4C3C6D1D</v>
      </c>
      <c r="E560" t="str" cm="1">
        <f t="array" ref="E560">MAJ_H(E547,F547,G547)</f>
        <v>B5C66396</v>
      </c>
    </row>
    <row r="561" spans="1:12" x14ac:dyDescent="0.25">
      <c r="A561" s="7" t="s">
        <v>370</v>
      </c>
      <c r="C561" s="27" t="str" cm="1">
        <f t="array" ref="C561">HexToBits(C560)</f>
        <v>01001100001111000110110100011101</v>
      </c>
      <c r="E561" t="str" cm="1">
        <f t="array" ref="E561">HexToBits(E560)</f>
        <v>10110101110001100110001110010110</v>
      </c>
    </row>
    <row r="562" spans="1:12" x14ac:dyDescent="0.25">
      <c r="A562" s="7"/>
    </row>
    <row r="563" spans="1:12" x14ac:dyDescent="0.25">
      <c r="A563" s="7" t="s">
        <v>373</v>
      </c>
      <c r="B563" t="str">
        <f>_xlfn.BASE(MOD(_xlfn.DECIMAL(C561,2) + _xlfn.DECIMAL(E561,2), 4294967296), 2, 32)</f>
        <v>00000010000000101101000010110011</v>
      </c>
    </row>
    <row r="564" spans="1:12" x14ac:dyDescent="0.25">
      <c r="A564" s="7" t="s">
        <v>369</v>
      </c>
      <c r="B564" t="str" cm="1">
        <f t="array" ref="B564">BitsToHex(B563)</f>
        <v>0202D0B3</v>
      </c>
    </row>
    <row r="565" spans="1:12" x14ac:dyDescent="0.25">
      <c r="A565" s="7"/>
    </row>
    <row r="566" spans="1:12" x14ac:dyDescent="0.25">
      <c r="A566" s="7" t="s">
        <v>374</v>
      </c>
      <c r="C566" s="28" t="s">
        <v>31</v>
      </c>
      <c r="D566" s="26" t="s">
        <v>183</v>
      </c>
      <c r="E566" s="7" t="s">
        <v>227</v>
      </c>
    </row>
    <row r="567" spans="1:12" x14ac:dyDescent="0.25">
      <c r="A567" s="7"/>
      <c r="C567" s="28"/>
      <c r="D567" s="26"/>
      <c r="E567" s="7"/>
      <c r="L567" s="16"/>
    </row>
    <row r="568" spans="1:12" x14ac:dyDescent="0.25">
      <c r="C568" s="27" t="str" cm="1">
        <f t="array" ref="C568">HexToBits(H547)</f>
        <v>10101001100100010001110101001111</v>
      </c>
      <c r="D568" s="26"/>
      <c r="E568" t="str">
        <f>B554</f>
        <v>11110010100101101000011111100101</v>
      </c>
    </row>
    <row r="569" spans="1:12" x14ac:dyDescent="0.25">
      <c r="A569" s="7" t="s">
        <v>374</v>
      </c>
      <c r="B569" t="str">
        <f>_xlfn.BASE(MOD(_xlfn.DECIMAL(C568,2) + _xlfn.DECIMAL(E568,2), 4294967296), 2, 32)</f>
        <v>10011100001001111010010100110100</v>
      </c>
      <c r="D569" s="16"/>
    </row>
    <row r="570" spans="1:12" x14ac:dyDescent="0.25">
      <c r="A570" s="7" t="s">
        <v>375</v>
      </c>
      <c r="B570" t="str" cm="1">
        <f t="array" ref="B570">BitsToHex(B569)</f>
        <v>9C27A534</v>
      </c>
      <c r="C570" s="28"/>
      <c r="D570" s="26"/>
      <c r="E570" s="7"/>
    </row>
    <row r="571" spans="1:12" x14ac:dyDescent="0.25">
      <c r="A571" s="7"/>
      <c r="C571" s="28"/>
      <c r="D571" s="26"/>
      <c r="E571" s="7"/>
    </row>
    <row r="572" spans="1:12" x14ac:dyDescent="0.25">
      <c r="A572" s="7" t="s">
        <v>376</v>
      </c>
      <c r="C572" s="28" t="s">
        <v>377</v>
      </c>
      <c r="D572" s="26" t="s">
        <v>183</v>
      </c>
      <c r="E572" s="7" t="s">
        <v>378</v>
      </c>
    </row>
    <row r="573" spans="1:12" x14ac:dyDescent="0.25">
      <c r="A573" s="7"/>
      <c r="C573" s="27" t="str">
        <f>B554</f>
        <v>11110010100101101000011111100101</v>
      </c>
      <c r="D573" s="16"/>
      <c r="E573" t="str">
        <f>B563</f>
        <v>00000010000000101101000010110011</v>
      </c>
    </row>
    <row r="574" spans="1:12" x14ac:dyDescent="0.25">
      <c r="A574" s="7"/>
      <c r="C574" s="28"/>
      <c r="D574" s="26"/>
      <c r="E574" s="7"/>
    </row>
    <row r="575" spans="1:12" x14ac:dyDescent="0.25">
      <c r="A575" s="7" t="s">
        <v>376</v>
      </c>
      <c r="B575" t="str">
        <f>_xlfn.BASE(MOD(_xlfn.DECIMAL(C573,2) + _xlfn.DECIMAL(E573,2), 4294967296), 2, 32)</f>
        <v>11110100100110010101100010011000</v>
      </c>
      <c r="C575" s="28"/>
      <c r="D575" s="26"/>
      <c r="E575" s="7"/>
    </row>
    <row r="576" spans="1:12" x14ac:dyDescent="0.25">
      <c r="A576" s="7" t="s">
        <v>375</v>
      </c>
      <c r="B576" t="str" cm="1">
        <f t="array" ref="B576">BitsToHex(B575)</f>
        <v>F4995898</v>
      </c>
    </row>
    <row r="578" spans="1:13" x14ac:dyDescent="0.25">
      <c r="C578" s="27" t="s">
        <v>225</v>
      </c>
      <c r="E578" s="24" t="s">
        <v>8</v>
      </c>
      <c r="F578" s="24" t="s">
        <v>29</v>
      </c>
      <c r="G578" s="24" t="s">
        <v>30</v>
      </c>
      <c r="H578" s="24" t="s">
        <v>31</v>
      </c>
      <c r="I578" s="24" t="s">
        <v>221</v>
      </c>
      <c r="J578" s="24" t="s">
        <v>222</v>
      </c>
      <c r="K578" s="24" t="s">
        <v>34</v>
      </c>
      <c r="L578" s="24" t="s">
        <v>223</v>
      </c>
    </row>
    <row r="579" spans="1:13" x14ac:dyDescent="0.25">
      <c r="E579" s="24" t="str">
        <f>B576</f>
        <v>F4995898</v>
      </c>
      <c r="F579" s="24" t="str">
        <f>E547</f>
        <v>7CC36BD4</v>
      </c>
      <c r="G579" s="24" t="str">
        <f>F547</f>
        <v>9796E236</v>
      </c>
      <c r="H579" s="24" t="str">
        <f>G547</f>
        <v>B1E40182</v>
      </c>
      <c r="I579" s="24" t="str">
        <f>B570</f>
        <v>9C27A534</v>
      </c>
      <c r="J579" s="25" t="str">
        <f>I547</f>
        <v>B7B9A762</v>
      </c>
      <c r="K579" s="24" t="str">
        <f>J547</f>
        <v>4802A1F6</v>
      </c>
      <c r="L579" s="24" t="str">
        <f>K547</f>
        <v>87F949BE</v>
      </c>
    </row>
    <row r="580" spans="1:13" x14ac:dyDescent="0.25">
      <c r="A580" s="2"/>
      <c r="B580" s="2"/>
      <c r="C580" s="30" t="s">
        <v>379</v>
      </c>
      <c r="D580" s="2">
        <v>16</v>
      </c>
      <c r="E580" s="2"/>
      <c r="F580" s="2"/>
      <c r="G580" s="2"/>
      <c r="H580" s="2"/>
      <c r="I580" s="2"/>
      <c r="J580" s="2"/>
      <c r="K580" s="2"/>
      <c r="L580" s="2"/>
      <c r="M580" s="2"/>
    </row>
    <row r="581" spans="1:13" x14ac:dyDescent="0.25">
      <c r="D581" t="s">
        <v>380</v>
      </c>
      <c r="E581">
        <f>D580+1</f>
        <v>17</v>
      </c>
    </row>
    <row r="582" spans="1:13" x14ac:dyDescent="0.25">
      <c r="C582" s="27" t="s">
        <v>224</v>
      </c>
      <c r="E582" s="24" t="s">
        <v>8</v>
      </c>
      <c r="F582" s="24" t="s">
        <v>29</v>
      </c>
      <c r="G582" s="24" t="s">
        <v>30</v>
      </c>
      <c r="H582" s="24" t="s">
        <v>31</v>
      </c>
      <c r="I582" s="24" t="s">
        <v>221</v>
      </c>
      <c r="J582" s="24" t="s">
        <v>222</v>
      </c>
      <c r="K582" s="24" t="s">
        <v>34</v>
      </c>
      <c r="L582" s="24" t="s">
        <v>223</v>
      </c>
    </row>
    <row r="583" spans="1:13" x14ac:dyDescent="0.25">
      <c r="E583" s="24" t="str">
        <f t="shared" ref="E583:L583" si="16">E579</f>
        <v>F4995898</v>
      </c>
      <c r="F583" s="24" t="str">
        <f t="shared" si="16"/>
        <v>7CC36BD4</v>
      </c>
      <c r="G583" s="24" t="str">
        <f t="shared" si="16"/>
        <v>9796E236</v>
      </c>
      <c r="H583" s="24" t="str">
        <f t="shared" si="16"/>
        <v>B1E40182</v>
      </c>
      <c r="I583" s="25" t="str">
        <f t="shared" si="16"/>
        <v>9C27A534</v>
      </c>
      <c r="J583" s="24" t="str">
        <f t="shared" si="16"/>
        <v>B7B9A762</v>
      </c>
      <c r="K583" s="24" t="str">
        <f t="shared" si="16"/>
        <v>4802A1F6</v>
      </c>
      <c r="L583" s="24" t="str">
        <f t="shared" si="16"/>
        <v>87F949BE</v>
      </c>
    </row>
    <row r="585" spans="1:13" x14ac:dyDescent="0.25">
      <c r="A585" s="7" t="s">
        <v>363</v>
      </c>
      <c r="B585" s="7"/>
      <c r="C585" s="28" t="s">
        <v>223</v>
      </c>
      <c r="D585" s="26" t="s">
        <v>183</v>
      </c>
      <c r="E585" s="8" t="s">
        <v>365</v>
      </c>
      <c r="F585" s="26" t="s">
        <v>183</v>
      </c>
      <c r="G585" s="8" t="s">
        <v>366</v>
      </c>
      <c r="H585" s="26" t="s">
        <v>183</v>
      </c>
      <c r="I585" s="8" t="s">
        <v>367</v>
      </c>
      <c r="J585" s="26" t="s">
        <v>183</v>
      </c>
      <c r="K585" s="8" t="s">
        <v>368</v>
      </c>
    </row>
    <row r="586" spans="1:13" x14ac:dyDescent="0.25">
      <c r="A586" s="7"/>
    </row>
    <row r="587" spans="1:13" x14ac:dyDescent="0.25">
      <c r="A587" s="7"/>
      <c r="C587" s="27" t="str">
        <f>L583</f>
        <v>87F949BE</v>
      </c>
      <c r="E587" t="str" cm="1">
        <f t="array" ref="E587">BSIG1_H(I583)</f>
        <v>6731802E</v>
      </c>
      <c r="G587" t="str" cm="1">
        <f t="array" ref="G587">CH_H(I583,J583,K583)</f>
        <v>D421A5E2</v>
      </c>
      <c r="I587" t="str" cm="1">
        <f t="array" ref="I587">INDEX(Folha3!$C$15:$J$22,IF(MOD(E581,8)=0,0,1)+INT(E581/8),1+MOD(E581-1,8))</f>
        <v>e49b69c1</v>
      </c>
      <c r="K587" t="str" cm="1">
        <f t="array" ref="K587">INDEX(Folha3!$C$38:$BN$38,1,E581)</f>
        <v>0BE08CD5</v>
      </c>
    </row>
    <row r="588" spans="1:13" x14ac:dyDescent="0.25">
      <c r="A588" s="7" t="s">
        <v>370</v>
      </c>
      <c r="C588" s="27" t="str" cm="1">
        <f t="array" ref="C588">HexToBits(C587)</f>
        <v>10000111111110010100100110111110</v>
      </c>
      <c r="E588" t="str" cm="1">
        <f t="array" ref="E588">HexToBits(E587)</f>
        <v>01100111001100011000000000101110</v>
      </c>
      <c r="G588" t="str" cm="1">
        <f t="array" ref="G588">HexToBits(G587)</f>
        <v>11010100001000011010010111100010</v>
      </c>
      <c r="I588" t="str" cm="1">
        <f t="array" ref="I588">HexToBits(I587)</f>
        <v>11100100100110110110100111000001</v>
      </c>
      <c r="K588" t="str" cm="1">
        <f t="array" ref="K588">HexToBits(K587)</f>
        <v>00001011111000001000110011010101</v>
      </c>
    </row>
    <row r="589" spans="1:13" x14ac:dyDescent="0.25">
      <c r="A589" s="7"/>
    </row>
    <row r="590" spans="1:13" x14ac:dyDescent="0.25">
      <c r="A590" s="7" t="s">
        <v>364</v>
      </c>
      <c r="B590" t="str">
        <f>_xlfn.BASE(
  (_xlfn.DECIMAL(C588,2)+_xlfn.DECIMAL(E588,2)+_xlfn.DECIMAL(G588,2)+_xlfn.DECIMAL(I588,2)+_xlfn.DECIMAL(K588,2))
  - (INT((_xlfn.DECIMAL(C588,2)+_xlfn.DECIMAL(E588,2)+_xlfn.DECIMAL(G588,2)+_xlfn.DECIMAL(I588,2)+_xlfn.DECIMAL(K588,2)) / 4294967296) * 4294967296),
  2,
  32
)</f>
        <v>10110011110010000110011001100100</v>
      </c>
    </row>
    <row r="591" spans="1:13" x14ac:dyDescent="0.25">
      <c r="A591" s="7" t="s">
        <v>369</v>
      </c>
      <c r="B591" t="str" cm="1">
        <f t="array" ref="B591">BitsToHex(B590)</f>
        <v>B3C86664</v>
      </c>
    </row>
    <row r="594" spans="1:12" x14ac:dyDescent="0.25">
      <c r="A594" s="7" t="s">
        <v>373</v>
      </c>
      <c r="B594" s="7"/>
      <c r="C594" s="29" t="s">
        <v>371</v>
      </c>
      <c r="D594" s="26" t="s">
        <v>183</v>
      </c>
      <c r="E594" s="8" t="s">
        <v>372</v>
      </c>
      <c r="J594" s="32"/>
    </row>
    <row r="595" spans="1:12" x14ac:dyDescent="0.25">
      <c r="A595" s="7"/>
    </row>
    <row r="596" spans="1:12" x14ac:dyDescent="0.25">
      <c r="A596" s="7"/>
      <c r="C596" s="27" t="str" cm="1">
        <f t="array" ref="C596">BSIG0_H(E583)</f>
        <v>9C83913E</v>
      </c>
      <c r="E596" t="str" cm="1">
        <f t="array" ref="E596">MAJ_H(E583,F583,G583)</f>
        <v>F4936A94</v>
      </c>
    </row>
    <row r="597" spans="1:12" x14ac:dyDescent="0.25">
      <c r="A597" s="7" t="s">
        <v>370</v>
      </c>
      <c r="C597" s="27" t="str" cm="1">
        <f t="array" ref="C597">HexToBits(C596)</f>
        <v>10011100100000111001000100111110</v>
      </c>
      <c r="E597" t="str" cm="1">
        <f t="array" ref="E597">HexToBits(E596)</f>
        <v>11110100100100110110101010010100</v>
      </c>
    </row>
    <row r="598" spans="1:12" x14ac:dyDescent="0.25">
      <c r="A598" s="7"/>
    </row>
    <row r="599" spans="1:12" x14ac:dyDescent="0.25">
      <c r="A599" s="7" t="s">
        <v>373</v>
      </c>
      <c r="B599" t="str">
        <f>_xlfn.BASE(MOD(_xlfn.DECIMAL(C597,2) + _xlfn.DECIMAL(E597,2), 4294967296), 2, 32)</f>
        <v>10010001000101101111101111010010</v>
      </c>
    </row>
    <row r="600" spans="1:12" x14ac:dyDescent="0.25">
      <c r="A600" s="7" t="s">
        <v>369</v>
      </c>
      <c r="B600" t="str" cm="1">
        <f t="array" ref="B600">BitsToHex(B599)</f>
        <v>9116FBD2</v>
      </c>
    </row>
    <row r="601" spans="1:12" x14ac:dyDescent="0.25">
      <c r="A601" s="7"/>
    </row>
    <row r="602" spans="1:12" x14ac:dyDescent="0.25">
      <c r="A602" s="7" t="s">
        <v>374</v>
      </c>
      <c r="C602" s="28" t="s">
        <v>31</v>
      </c>
      <c r="D602" s="26" t="s">
        <v>183</v>
      </c>
      <c r="E602" s="7" t="s">
        <v>227</v>
      </c>
    </row>
    <row r="603" spans="1:12" x14ac:dyDescent="0.25">
      <c r="A603" s="7"/>
      <c r="C603" s="28"/>
      <c r="D603" s="26"/>
      <c r="E603" s="7"/>
      <c r="L603" s="16"/>
    </row>
    <row r="604" spans="1:12" x14ac:dyDescent="0.25">
      <c r="C604" s="27" t="str" cm="1">
        <f t="array" ref="C604">HexToBits(H583)</f>
        <v>10110001111001000000000110000010</v>
      </c>
      <c r="D604" s="26"/>
      <c r="E604" t="str">
        <f>B590</f>
        <v>10110011110010000110011001100100</v>
      </c>
    </row>
    <row r="605" spans="1:12" x14ac:dyDescent="0.25">
      <c r="A605" s="7" t="s">
        <v>374</v>
      </c>
      <c r="B605" t="str">
        <f>_xlfn.BASE(MOD(_xlfn.DECIMAL(C604,2) + _xlfn.DECIMAL(E604,2), 4294967296), 2, 32)</f>
        <v>01100101101011000110011111100110</v>
      </c>
      <c r="D605" s="16"/>
    </row>
    <row r="606" spans="1:12" x14ac:dyDescent="0.25">
      <c r="A606" s="7" t="s">
        <v>375</v>
      </c>
      <c r="B606" t="str" cm="1">
        <f t="array" ref="B606">BitsToHex(B605)</f>
        <v>65AC67E6</v>
      </c>
      <c r="C606" s="28"/>
      <c r="D606" s="26"/>
      <c r="E606" s="7"/>
    </row>
    <row r="607" spans="1:12" x14ac:dyDescent="0.25">
      <c r="A607" s="7"/>
      <c r="C607" s="28"/>
      <c r="D607" s="26"/>
      <c r="E607" s="7"/>
    </row>
    <row r="608" spans="1:12" x14ac:dyDescent="0.25">
      <c r="A608" s="7" t="s">
        <v>376</v>
      </c>
      <c r="C608" s="28" t="s">
        <v>377</v>
      </c>
      <c r="D608" s="26" t="s">
        <v>183</v>
      </c>
      <c r="E608" s="7" t="s">
        <v>378</v>
      </c>
    </row>
    <row r="609" spans="1:13" x14ac:dyDescent="0.25">
      <c r="A609" s="7"/>
      <c r="C609" s="27" t="str">
        <f>B590</f>
        <v>10110011110010000110011001100100</v>
      </c>
      <c r="D609" s="16"/>
      <c r="E609" t="str">
        <f>B599</f>
        <v>10010001000101101111101111010010</v>
      </c>
    </row>
    <row r="610" spans="1:13" x14ac:dyDescent="0.25">
      <c r="A610" s="7"/>
      <c r="C610" s="28"/>
      <c r="D610" s="26"/>
      <c r="E610" s="7"/>
    </row>
    <row r="611" spans="1:13" x14ac:dyDescent="0.25">
      <c r="A611" s="7" t="s">
        <v>376</v>
      </c>
      <c r="B611" t="str">
        <f>_xlfn.BASE(MOD(_xlfn.DECIMAL(C609,2) + _xlfn.DECIMAL(E609,2), 4294967296), 2, 32)</f>
        <v>01000100110111110110001000110110</v>
      </c>
      <c r="C611" s="28"/>
      <c r="D611" s="26"/>
      <c r="E611" s="7"/>
    </row>
    <row r="612" spans="1:13" x14ac:dyDescent="0.25">
      <c r="A612" s="7" t="s">
        <v>375</v>
      </c>
      <c r="B612" t="str" cm="1">
        <f t="array" ref="B612">BitsToHex(B611)</f>
        <v>44DF6236</v>
      </c>
    </row>
    <row r="614" spans="1:13" x14ac:dyDescent="0.25">
      <c r="C614" s="27" t="s">
        <v>225</v>
      </c>
      <c r="E614" s="24" t="s">
        <v>8</v>
      </c>
      <c r="F614" s="24" t="s">
        <v>29</v>
      </c>
      <c r="G614" s="24" t="s">
        <v>30</v>
      </c>
      <c r="H614" s="24" t="s">
        <v>31</v>
      </c>
      <c r="I614" s="24" t="s">
        <v>221</v>
      </c>
      <c r="J614" s="24" t="s">
        <v>222</v>
      </c>
      <c r="K614" s="24" t="s">
        <v>34</v>
      </c>
      <c r="L614" s="24" t="s">
        <v>223</v>
      </c>
    </row>
    <row r="615" spans="1:13" x14ac:dyDescent="0.25">
      <c r="E615" s="24" t="str">
        <f>B612</f>
        <v>44DF6236</v>
      </c>
      <c r="F615" s="24" t="str">
        <f>E583</f>
        <v>F4995898</v>
      </c>
      <c r="G615" s="24" t="str">
        <f>F583</f>
        <v>7CC36BD4</v>
      </c>
      <c r="H615" s="24" t="str">
        <f>G583</f>
        <v>9796E236</v>
      </c>
      <c r="I615" s="24" t="str">
        <f>B606</f>
        <v>65AC67E6</v>
      </c>
      <c r="J615" s="25" t="str">
        <f>I583</f>
        <v>9C27A534</v>
      </c>
      <c r="K615" s="24" t="str">
        <f>J583</f>
        <v>B7B9A762</v>
      </c>
      <c r="L615" s="24" t="str">
        <f>K583</f>
        <v>4802A1F6</v>
      </c>
    </row>
    <row r="616" spans="1:13" x14ac:dyDescent="0.25">
      <c r="A616" s="2"/>
      <c r="B616" s="2"/>
      <c r="C616" s="30" t="s">
        <v>379</v>
      </c>
      <c r="D616" s="2">
        <v>17</v>
      </c>
      <c r="E616" s="2"/>
      <c r="F616" s="2"/>
      <c r="G616" s="2"/>
      <c r="H616" s="2"/>
      <c r="I616" s="2"/>
      <c r="J616" s="2"/>
      <c r="K616" s="2"/>
      <c r="L616" s="2"/>
      <c r="M616" s="2"/>
    </row>
    <row r="617" spans="1:13" x14ac:dyDescent="0.25">
      <c r="D617" t="s">
        <v>380</v>
      </c>
      <c r="E617">
        <f>D616+1</f>
        <v>18</v>
      </c>
    </row>
    <row r="618" spans="1:13" x14ac:dyDescent="0.25">
      <c r="C618" s="27" t="s">
        <v>224</v>
      </c>
      <c r="E618" s="24" t="s">
        <v>8</v>
      </c>
      <c r="F618" s="24" t="s">
        <v>29</v>
      </c>
      <c r="G618" s="24" t="s">
        <v>30</v>
      </c>
      <c r="H618" s="24" t="s">
        <v>31</v>
      </c>
      <c r="I618" s="24" t="s">
        <v>221</v>
      </c>
      <c r="J618" s="24" t="s">
        <v>222</v>
      </c>
      <c r="K618" s="24" t="s">
        <v>34</v>
      </c>
      <c r="L618" s="24" t="s">
        <v>223</v>
      </c>
    </row>
    <row r="619" spans="1:13" x14ac:dyDescent="0.25">
      <c r="E619" s="24" t="str">
        <f t="shared" ref="E619:L619" si="17">E615</f>
        <v>44DF6236</v>
      </c>
      <c r="F619" s="24" t="str">
        <f t="shared" si="17"/>
        <v>F4995898</v>
      </c>
      <c r="G619" s="24" t="str">
        <f t="shared" si="17"/>
        <v>7CC36BD4</v>
      </c>
      <c r="H619" s="24" t="str">
        <f t="shared" si="17"/>
        <v>9796E236</v>
      </c>
      <c r="I619" s="25" t="str">
        <f t="shared" si="17"/>
        <v>65AC67E6</v>
      </c>
      <c r="J619" s="24" t="str">
        <f t="shared" si="17"/>
        <v>9C27A534</v>
      </c>
      <c r="K619" s="24" t="str">
        <f t="shared" si="17"/>
        <v>B7B9A762</v>
      </c>
      <c r="L619" s="24" t="str">
        <f t="shared" si="17"/>
        <v>4802A1F6</v>
      </c>
    </row>
    <row r="621" spans="1:13" x14ac:dyDescent="0.25">
      <c r="A621" s="7" t="s">
        <v>363</v>
      </c>
      <c r="B621" s="7"/>
      <c r="C621" s="28" t="s">
        <v>223</v>
      </c>
      <c r="D621" s="26" t="s">
        <v>183</v>
      </c>
      <c r="E621" s="8" t="s">
        <v>365</v>
      </c>
      <c r="F621" s="26" t="s">
        <v>183</v>
      </c>
      <c r="G621" s="8" t="s">
        <v>366</v>
      </c>
      <c r="H621" s="26" t="s">
        <v>183</v>
      </c>
      <c r="I621" s="8" t="s">
        <v>367</v>
      </c>
      <c r="J621" s="26" t="s">
        <v>183</v>
      </c>
      <c r="K621" s="8" t="s">
        <v>368</v>
      </c>
    </row>
    <row r="622" spans="1:13" x14ac:dyDescent="0.25">
      <c r="A622" s="7"/>
    </row>
    <row r="623" spans="1:13" x14ac:dyDescent="0.25">
      <c r="A623" s="7"/>
      <c r="C623" s="27" t="str">
        <f>L619</f>
        <v>4802A1F6</v>
      </c>
      <c r="E623" t="str" cm="1">
        <f t="array" ref="E623">BSIG1_H(I619)</f>
        <v>B369F721</v>
      </c>
      <c r="G623" t="str" cm="1">
        <f t="array" ref="G623">CH_H(I619,J619,K619)</f>
        <v>9635A524</v>
      </c>
      <c r="I623" t="str" cm="1">
        <f t="array" ref="I623">INDEX(Folha3!$C$15:$J$22,IF(MOD(E617,8)=0,0,1)+INT(E617/8),1+MOD(E617-1,8))</f>
        <v>efbe4786</v>
      </c>
      <c r="K623" t="str" cm="1">
        <f t="array" ref="K623">INDEX(Folha3!$C$38:$BN$38,1,E617)</f>
        <v>65910000</v>
      </c>
    </row>
    <row r="624" spans="1:13" x14ac:dyDescent="0.25">
      <c r="A624" s="7" t="s">
        <v>370</v>
      </c>
      <c r="C624" s="27" t="str" cm="1">
        <f t="array" ref="C624">HexToBits(C623)</f>
        <v>01001000000000101010000111110110</v>
      </c>
      <c r="E624" t="str" cm="1">
        <f t="array" ref="E624">HexToBits(E623)</f>
        <v>10110011011010011111011100100001</v>
      </c>
      <c r="G624" t="str" cm="1">
        <f t="array" ref="G624">HexToBits(G623)</f>
        <v>10010110001101011010010100100100</v>
      </c>
      <c r="I624" t="str" cm="1">
        <f t="array" ref="I624">HexToBits(I623)</f>
        <v>11101111101111100100011110000110</v>
      </c>
      <c r="K624" t="str" cm="1">
        <f t="array" ref="K624">HexToBits(K623)</f>
        <v>01100101100100010000000000000000</v>
      </c>
    </row>
    <row r="625" spans="1:12" x14ac:dyDescent="0.25">
      <c r="A625" s="7"/>
    </row>
    <row r="626" spans="1:12" x14ac:dyDescent="0.25">
      <c r="A626" s="7" t="s">
        <v>364</v>
      </c>
      <c r="B626" t="str">
        <f>_xlfn.BASE(
  (_xlfn.DECIMAL(C624,2)+_xlfn.DECIMAL(E624,2)+_xlfn.DECIMAL(G624,2)+_xlfn.DECIMAL(I624,2)+_xlfn.DECIMAL(K624,2))
  - (INT((_xlfn.DECIMAL(C624,2)+_xlfn.DECIMAL(E624,2)+_xlfn.DECIMAL(G624,2)+_xlfn.DECIMAL(I624,2)+_xlfn.DECIMAL(K624,2)) / 4294967296) * 4294967296),
  2,
  32
)</f>
        <v>11100110111100011000010111000001</v>
      </c>
    </row>
    <row r="627" spans="1:12" x14ac:dyDescent="0.25">
      <c r="A627" s="7" t="s">
        <v>369</v>
      </c>
      <c r="B627" t="str" cm="1">
        <f t="array" ref="B627">BitsToHex(B626)</f>
        <v>E6F185C1</v>
      </c>
    </row>
    <row r="630" spans="1:12" x14ac:dyDescent="0.25">
      <c r="A630" s="7" t="s">
        <v>373</v>
      </c>
      <c r="B630" s="7"/>
      <c r="C630" s="29" t="s">
        <v>371</v>
      </c>
      <c r="D630" s="26" t="s">
        <v>183</v>
      </c>
      <c r="E630" s="8" t="s">
        <v>372</v>
      </c>
      <c r="J630" s="32"/>
    </row>
    <row r="631" spans="1:12" x14ac:dyDescent="0.25">
      <c r="A631" s="7"/>
    </row>
    <row r="632" spans="1:12" x14ac:dyDescent="0.25">
      <c r="A632" s="7"/>
      <c r="C632" s="27" t="str" cm="1">
        <f t="array" ref="C632">BSIG0_H(E619)</f>
        <v>FD0D2765</v>
      </c>
      <c r="E632" t="str" cm="1">
        <f t="array" ref="E632">MAJ_H(E619,F619,G619)</f>
        <v>74DB6A94</v>
      </c>
    </row>
    <row r="633" spans="1:12" x14ac:dyDescent="0.25">
      <c r="A633" s="7" t="s">
        <v>370</v>
      </c>
      <c r="C633" s="27" t="str" cm="1">
        <f t="array" ref="C633">HexToBits(C632)</f>
        <v>11111101000011010010011101100101</v>
      </c>
      <c r="E633" t="str" cm="1">
        <f t="array" ref="E633">HexToBits(E632)</f>
        <v>01110100110110110110101010010100</v>
      </c>
    </row>
    <row r="634" spans="1:12" x14ac:dyDescent="0.25">
      <c r="A634" s="7"/>
    </row>
    <row r="635" spans="1:12" x14ac:dyDescent="0.25">
      <c r="A635" s="7" t="s">
        <v>373</v>
      </c>
      <c r="B635" t="str">
        <f>_xlfn.BASE(MOD(_xlfn.DECIMAL(C633,2) + _xlfn.DECIMAL(E633,2), 4294967296), 2, 32)</f>
        <v>01110001111010001001000111111001</v>
      </c>
    </row>
    <row r="636" spans="1:12" x14ac:dyDescent="0.25">
      <c r="A636" s="7" t="s">
        <v>369</v>
      </c>
      <c r="B636" t="str" cm="1">
        <f t="array" ref="B636">BitsToHex(B635)</f>
        <v>71E891F9</v>
      </c>
    </row>
    <row r="637" spans="1:12" x14ac:dyDescent="0.25">
      <c r="A637" s="7"/>
    </row>
    <row r="638" spans="1:12" x14ac:dyDescent="0.25">
      <c r="A638" s="7" t="s">
        <v>374</v>
      </c>
      <c r="C638" s="28" t="s">
        <v>31</v>
      </c>
      <c r="D638" s="26" t="s">
        <v>183</v>
      </c>
      <c r="E638" s="7" t="s">
        <v>227</v>
      </c>
    </row>
    <row r="639" spans="1:12" x14ac:dyDescent="0.25">
      <c r="A639" s="7"/>
      <c r="C639" s="28"/>
      <c r="D639" s="26"/>
      <c r="E639" s="7"/>
      <c r="L639" s="16"/>
    </row>
    <row r="640" spans="1:12" x14ac:dyDescent="0.25">
      <c r="C640" s="27" t="str" cm="1">
        <f t="array" ref="C640">HexToBits(H619)</f>
        <v>10010111100101101110001000110110</v>
      </c>
      <c r="D640" s="26"/>
      <c r="E640" t="str">
        <f>B626</f>
        <v>11100110111100011000010111000001</v>
      </c>
    </row>
    <row r="641" spans="1:13" x14ac:dyDescent="0.25">
      <c r="A641" s="7" t="s">
        <v>374</v>
      </c>
      <c r="B641" t="str">
        <f>_xlfn.BASE(MOD(_xlfn.DECIMAL(C640,2) + _xlfn.DECIMAL(E640,2), 4294967296), 2, 32)</f>
        <v>01111110100010000110011111110111</v>
      </c>
      <c r="D641" s="16"/>
    </row>
    <row r="642" spans="1:13" x14ac:dyDescent="0.25">
      <c r="A642" s="7" t="s">
        <v>375</v>
      </c>
      <c r="B642" t="str" cm="1">
        <f t="array" ref="B642">BitsToHex(B641)</f>
        <v>7E8867F7</v>
      </c>
      <c r="C642" s="28"/>
      <c r="D642" s="26"/>
      <c r="E642" s="7"/>
    </row>
    <row r="643" spans="1:13" x14ac:dyDescent="0.25">
      <c r="A643" s="7"/>
      <c r="C643" s="28"/>
      <c r="D643" s="26"/>
      <c r="E643" s="7"/>
    </row>
    <row r="644" spans="1:13" x14ac:dyDescent="0.25">
      <c r="A644" s="7" t="s">
        <v>376</v>
      </c>
      <c r="C644" s="28" t="s">
        <v>377</v>
      </c>
      <c r="D644" s="26" t="s">
        <v>183</v>
      </c>
      <c r="E644" s="7" t="s">
        <v>378</v>
      </c>
    </row>
    <row r="645" spans="1:13" x14ac:dyDescent="0.25">
      <c r="A645" s="7"/>
      <c r="C645" s="27" t="str">
        <f>B626</f>
        <v>11100110111100011000010111000001</v>
      </c>
      <c r="D645" s="16"/>
      <c r="E645" t="str">
        <f>B635</f>
        <v>01110001111010001001000111111001</v>
      </c>
    </row>
    <row r="646" spans="1:13" x14ac:dyDescent="0.25">
      <c r="A646" s="7"/>
      <c r="C646" s="28"/>
      <c r="D646" s="26"/>
      <c r="E646" s="7"/>
    </row>
    <row r="647" spans="1:13" x14ac:dyDescent="0.25">
      <c r="A647" s="7" t="s">
        <v>376</v>
      </c>
      <c r="B647" t="str">
        <f>_xlfn.BASE(MOD(_xlfn.DECIMAL(C645,2) + _xlfn.DECIMAL(E645,2), 4294967296), 2, 32)</f>
        <v>01011000110110100001011110111010</v>
      </c>
      <c r="C647" s="28"/>
      <c r="D647" s="26"/>
      <c r="E647" s="7"/>
    </row>
    <row r="648" spans="1:13" x14ac:dyDescent="0.25">
      <c r="A648" s="7" t="s">
        <v>375</v>
      </c>
      <c r="B648" t="str" cm="1">
        <f t="array" ref="B648">BitsToHex(B647)</f>
        <v>58DA17BA</v>
      </c>
    </row>
    <row r="650" spans="1:13" x14ac:dyDescent="0.25">
      <c r="C650" s="27" t="s">
        <v>225</v>
      </c>
      <c r="E650" s="24" t="s">
        <v>8</v>
      </c>
      <c r="F650" s="24" t="s">
        <v>29</v>
      </c>
      <c r="G650" s="24" t="s">
        <v>30</v>
      </c>
      <c r="H650" s="24" t="s">
        <v>31</v>
      </c>
      <c r="I650" s="24" t="s">
        <v>221</v>
      </c>
      <c r="J650" s="24" t="s">
        <v>222</v>
      </c>
      <c r="K650" s="24" t="s">
        <v>34</v>
      </c>
      <c r="L650" s="24" t="s">
        <v>223</v>
      </c>
    </row>
    <row r="651" spans="1:13" x14ac:dyDescent="0.25">
      <c r="E651" s="24" t="str">
        <f>B648</f>
        <v>58DA17BA</v>
      </c>
      <c r="F651" s="24" t="str">
        <f>E619</f>
        <v>44DF6236</v>
      </c>
      <c r="G651" s="24" t="str">
        <f>F619</f>
        <v>F4995898</v>
      </c>
      <c r="H651" s="24" t="str">
        <f>G619</f>
        <v>7CC36BD4</v>
      </c>
      <c r="I651" s="24" t="str">
        <f>B642</f>
        <v>7E8867F7</v>
      </c>
      <c r="J651" s="25" t="str">
        <f>I619</f>
        <v>65AC67E6</v>
      </c>
      <c r="K651" s="24" t="str">
        <f>J619</f>
        <v>9C27A534</v>
      </c>
      <c r="L651" s="24" t="str">
        <f>K619</f>
        <v>B7B9A762</v>
      </c>
    </row>
    <row r="652" spans="1:13" x14ac:dyDescent="0.25">
      <c r="A652" s="2"/>
      <c r="B652" s="2"/>
      <c r="C652" s="30" t="s">
        <v>379</v>
      </c>
      <c r="D652" s="2">
        <v>18</v>
      </c>
      <c r="E652" s="2"/>
      <c r="F652" s="2"/>
      <c r="G652" s="2"/>
      <c r="H652" s="2"/>
      <c r="I652" s="2"/>
      <c r="J652" s="2"/>
      <c r="K652" s="2"/>
      <c r="L652" s="2"/>
      <c r="M652" s="2"/>
    </row>
    <row r="653" spans="1:13" x14ac:dyDescent="0.25">
      <c r="D653" t="s">
        <v>380</v>
      </c>
      <c r="E653">
        <f>D652+1</f>
        <v>19</v>
      </c>
    </row>
    <row r="654" spans="1:13" x14ac:dyDescent="0.25">
      <c r="C654" s="27" t="s">
        <v>224</v>
      </c>
      <c r="E654" s="24" t="s">
        <v>8</v>
      </c>
      <c r="F654" s="24" t="s">
        <v>29</v>
      </c>
      <c r="G654" s="24" t="s">
        <v>30</v>
      </c>
      <c r="H654" s="24" t="s">
        <v>31</v>
      </c>
      <c r="I654" s="24" t="s">
        <v>221</v>
      </c>
      <c r="J654" s="24" t="s">
        <v>222</v>
      </c>
      <c r="K654" s="24" t="s">
        <v>34</v>
      </c>
      <c r="L654" s="24" t="s">
        <v>223</v>
      </c>
    </row>
    <row r="655" spans="1:13" x14ac:dyDescent="0.25">
      <c r="E655" s="24" t="str">
        <f t="shared" ref="E655:L655" si="18">E651</f>
        <v>58DA17BA</v>
      </c>
      <c r="F655" s="24" t="str">
        <f t="shared" si="18"/>
        <v>44DF6236</v>
      </c>
      <c r="G655" s="24" t="str">
        <f t="shared" si="18"/>
        <v>F4995898</v>
      </c>
      <c r="H655" s="24" t="str">
        <f t="shared" si="18"/>
        <v>7CC36BD4</v>
      </c>
      <c r="I655" s="25" t="str">
        <f t="shared" si="18"/>
        <v>7E8867F7</v>
      </c>
      <c r="J655" s="24" t="str">
        <f t="shared" si="18"/>
        <v>65AC67E6</v>
      </c>
      <c r="K655" s="24" t="str">
        <f t="shared" si="18"/>
        <v>9C27A534</v>
      </c>
      <c r="L655" s="24" t="str">
        <f t="shared" si="18"/>
        <v>B7B9A762</v>
      </c>
    </row>
    <row r="657" spans="1:11" x14ac:dyDescent="0.25">
      <c r="A657" s="7" t="s">
        <v>363</v>
      </c>
      <c r="B657" s="7"/>
      <c r="C657" s="28" t="s">
        <v>223</v>
      </c>
      <c r="D657" s="26" t="s">
        <v>183</v>
      </c>
      <c r="E657" s="8" t="s">
        <v>365</v>
      </c>
      <c r="F657" s="26" t="s">
        <v>183</v>
      </c>
      <c r="G657" s="8" t="s">
        <v>366</v>
      </c>
      <c r="H657" s="26" t="s">
        <v>183</v>
      </c>
      <c r="I657" s="8" t="s">
        <v>367</v>
      </c>
      <c r="J657" s="26" t="s">
        <v>183</v>
      </c>
      <c r="K657" s="8" t="s">
        <v>368</v>
      </c>
    </row>
    <row r="658" spans="1:11" x14ac:dyDescent="0.25">
      <c r="A658" s="7"/>
    </row>
    <row r="659" spans="1:11" x14ac:dyDescent="0.25">
      <c r="A659" s="7"/>
      <c r="C659" s="27" t="str">
        <f>L655</f>
        <v>B7B9A762</v>
      </c>
      <c r="E659" t="str" cm="1">
        <f t="array" ref="E659">BSIG1_H(I655)</f>
        <v>67260B2C</v>
      </c>
      <c r="G659" t="str" cm="1">
        <f t="array" ref="G659">CH_H(I655,J655,K655)</f>
        <v>E4AFE7E6</v>
      </c>
      <c r="I659" t="str" cm="1">
        <f t="array" ref="I659">INDEX(Folha3!$C$15:$J$22,IF(MOD(E653,8)=0,0,1)+INT(E653/8),1+MOD(E653-1,8))</f>
        <v>0fc19dc6</v>
      </c>
      <c r="K659" t="str" cm="1">
        <f t="array" ref="K659">INDEX(Folha3!$C$38:$BN$38,1,E653)</f>
        <v>57F2DCAF</v>
      </c>
    </row>
    <row r="660" spans="1:11" x14ac:dyDescent="0.25">
      <c r="A660" s="7" t="s">
        <v>370</v>
      </c>
      <c r="C660" s="27" t="str" cm="1">
        <f t="array" ref="C660">HexToBits(C659)</f>
        <v>10110111101110011010011101100010</v>
      </c>
      <c r="E660" t="str" cm="1">
        <f t="array" ref="E660">HexToBits(E659)</f>
        <v>01100111001001100000101100101100</v>
      </c>
      <c r="G660" t="str" cm="1">
        <f t="array" ref="G660">HexToBits(G659)</f>
        <v>11100100101011111110011111100110</v>
      </c>
      <c r="I660" t="str" cm="1">
        <f t="array" ref="I660">HexToBits(I659)</f>
        <v>00001111110000011001110111000110</v>
      </c>
      <c r="K660" t="str" cm="1">
        <f t="array" ref="K660">HexToBits(K659)</f>
        <v>01010111111100101101110010101111</v>
      </c>
    </row>
    <row r="661" spans="1:11" x14ac:dyDescent="0.25">
      <c r="A661" s="7"/>
    </row>
    <row r="662" spans="1:11" x14ac:dyDescent="0.25">
      <c r="A662" s="7" t="s">
        <v>364</v>
      </c>
      <c r="B662" t="str">
        <f>_xlfn.BASE(
  (_xlfn.DECIMAL(C660,2)+_xlfn.DECIMAL(E660,2)+_xlfn.DECIMAL(G660,2)+_xlfn.DECIMAL(I660,2)+_xlfn.DECIMAL(K660,2))
  - (INT((_xlfn.DECIMAL(C660,2)+_xlfn.DECIMAL(E660,2)+_xlfn.DECIMAL(G660,2)+_xlfn.DECIMAL(I660,2)+_xlfn.DECIMAL(K660,2)) / 4294967296) * 4294967296),
  2,
  32
)</f>
        <v>01101011010001000001010011101001</v>
      </c>
    </row>
    <row r="663" spans="1:11" x14ac:dyDescent="0.25">
      <c r="A663" s="7" t="s">
        <v>369</v>
      </c>
      <c r="B663" t="str" cm="1">
        <f t="array" ref="B663">BitsToHex(B662)</f>
        <v>6B4414E9</v>
      </c>
    </row>
    <row r="666" spans="1:11" x14ac:dyDescent="0.25">
      <c r="A666" s="7" t="s">
        <v>373</v>
      </c>
      <c r="B666" s="7"/>
      <c r="C666" s="29" t="s">
        <v>371</v>
      </c>
      <c r="D666" s="26" t="s">
        <v>183</v>
      </c>
      <c r="E666" s="8" t="s">
        <v>372</v>
      </c>
      <c r="J666" s="32"/>
    </row>
    <row r="667" spans="1:11" x14ac:dyDescent="0.25">
      <c r="A667" s="7"/>
    </row>
    <row r="668" spans="1:11" x14ac:dyDescent="0.25">
      <c r="A668" s="7"/>
      <c r="C668" s="27" t="str" cm="1">
        <f t="array" ref="C668">BSIG0_H(E655)</f>
        <v>43BAAA5D</v>
      </c>
      <c r="E668" t="str" cm="1">
        <f t="array" ref="E668">MAJ_H(E655,F655,G655)</f>
        <v>54DB52BA</v>
      </c>
    </row>
    <row r="669" spans="1:11" x14ac:dyDescent="0.25">
      <c r="A669" s="7" t="s">
        <v>370</v>
      </c>
      <c r="C669" s="27" t="str" cm="1">
        <f t="array" ref="C669">HexToBits(C668)</f>
        <v>01000011101110101010101001011101</v>
      </c>
      <c r="E669" t="str" cm="1">
        <f t="array" ref="E669">HexToBits(E668)</f>
        <v>01010100110110110101001010111010</v>
      </c>
    </row>
    <row r="670" spans="1:11" x14ac:dyDescent="0.25">
      <c r="A670" s="7"/>
    </row>
    <row r="671" spans="1:11" x14ac:dyDescent="0.25">
      <c r="A671" s="7" t="s">
        <v>373</v>
      </c>
      <c r="B671" t="str">
        <f>_xlfn.BASE(MOD(_xlfn.DECIMAL(C669,2) + _xlfn.DECIMAL(E669,2), 4294967296), 2, 32)</f>
        <v>10011000100101011111110100010111</v>
      </c>
    </row>
    <row r="672" spans="1:11" x14ac:dyDescent="0.25">
      <c r="A672" s="7" t="s">
        <v>369</v>
      </c>
      <c r="B672" t="str" cm="1">
        <f t="array" ref="B672">BitsToHex(B671)</f>
        <v>9895FD17</v>
      </c>
    </row>
    <row r="673" spans="1:13" x14ac:dyDescent="0.25">
      <c r="A673" s="7"/>
    </row>
    <row r="674" spans="1:13" x14ac:dyDescent="0.25">
      <c r="A674" s="7" t="s">
        <v>374</v>
      </c>
      <c r="C674" s="28" t="s">
        <v>31</v>
      </c>
      <c r="D674" s="26" t="s">
        <v>183</v>
      </c>
      <c r="E674" s="7" t="s">
        <v>227</v>
      </c>
    </row>
    <row r="675" spans="1:13" x14ac:dyDescent="0.25">
      <c r="A675" s="7"/>
      <c r="C675" s="28"/>
      <c r="D675" s="26"/>
      <c r="E675" s="7"/>
      <c r="L675" s="16"/>
    </row>
    <row r="676" spans="1:13" x14ac:dyDescent="0.25">
      <c r="C676" s="27" t="str" cm="1">
        <f t="array" ref="C676">HexToBits(H655)</f>
        <v>01111100110000110110101111010100</v>
      </c>
      <c r="D676" s="26"/>
      <c r="E676" t="str">
        <f>B662</f>
        <v>01101011010001000001010011101001</v>
      </c>
    </row>
    <row r="677" spans="1:13" x14ac:dyDescent="0.25">
      <c r="A677" s="7" t="s">
        <v>374</v>
      </c>
      <c r="B677" t="str">
        <f>_xlfn.BASE(MOD(_xlfn.DECIMAL(C676,2) + _xlfn.DECIMAL(E676,2), 4294967296), 2, 32)</f>
        <v>11101000000001111000000010111101</v>
      </c>
      <c r="D677" s="16"/>
    </row>
    <row r="678" spans="1:13" x14ac:dyDescent="0.25">
      <c r="A678" s="7" t="s">
        <v>375</v>
      </c>
      <c r="B678" t="str" cm="1">
        <f t="array" ref="B678">BitsToHex(B677)</f>
        <v>E80780BD</v>
      </c>
      <c r="C678" s="28"/>
      <c r="D678" s="26"/>
      <c r="E678" s="7"/>
    </row>
    <row r="679" spans="1:13" x14ac:dyDescent="0.25">
      <c r="A679" s="7"/>
      <c r="C679" s="28"/>
      <c r="D679" s="26"/>
      <c r="E679" s="7"/>
    </row>
    <row r="680" spans="1:13" x14ac:dyDescent="0.25">
      <c r="A680" s="7" t="s">
        <v>376</v>
      </c>
      <c r="C680" s="28" t="s">
        <v>377</v>
      </c>
      <c r="D680" s="26" t="s">
        <v>183</v>
      </c>
      <c r="E680" s="7" t="s">
        <v>378</v>
      </c>
    </row>
    <row r="681" spans="1:13" x14ac:dyDescent="0.25">
      <c r="A681" s="7"/>
      <c r="C681" s="27" t="str">
        <f>B662</f>
        <v>01101011010001000001010011101001</v>
      </c>
      <c r="D681" s="16"/>
      <c r="E681" t="str">
        <f>B671</f>
        <v>10011000100101011111110100010111</v>
      </c>
    </row>
    <row r="682" spans="1:13" x14ac:dyDescent="0.25">
      <c r="A682" s="7"/>
      <c r="C682" s="28"/>
      <c r="D682" s="26"/>
      <c r="E682" s="7"/>
    </row>
    <row r="683" spans="1:13" x14ac:dyDescent="0.25">
      <c r="A683" s="7" t="s">
        <v>376</v>
      </c>
      <c r="B683" t="str">
        <f>_xlfn.BASE(MOD(_xlfn.DECIMAL(C681,2) + _xlfn.DECIMAL(E681,2), 4294967296), 2, 32)</f>
        <v>00000011110110100001001000000000</v>
      </c>
      <c r="C683" s="28"/>
      <c r="D683" s="26"/>
      <c r="E683" s="7"/>
    </row>
    <row r="684" spans="1:13" x14ac:dyDescent="0.25">
      <c r="A684" s="7" t="s">
        <v>375</v>
      </c>
      <c r="B684" t="str" cm="1">
        <f t="array" ref="B684">BitsToHex(B683)</f>
        <v>03DA1200</v>
      </c>
    </row>
    <row r="686" spans="1:13" x14ac:dyDescent="0.25">
      <c r="C686" s="27" t="s">
        <v>225</v>
      </c>
      <c r="E686" s="24" t="s">
        <v>8</v>
      </c>
      <c r="F686" s="24" t="s">
        <v>29</v>
      </c>
      <c r="G686" s="24" t="s">
        <v>30</v>
      </c>
      <c r="H686" s="24" t="s">
        <v>31</v>
      </c>
      <c r="I686" s="24" t="s">
        <v>221</v>
      </c>
      <c r="J686" s="24" t="s">
        <v>222</v>
      </c>
      <c r="K686" s="24" t="s">
        <v>34</v>
      </c>
      <c r="L686" s="24" t="s">
        <v>223</v>
      </c>
    </row>
    <row r="687" spans="1:13" x14ac:dyDescent="0.25">
      <c r="E687" s="24" t="str">
        <f>B684</f>
        <v>03DA1200</v>
      </c>
      <c r="F687" s="24" t="str">
        <f>E655</f>
        <v>58DA17BA</v>
      </c>
      <c r="G687" s="24" t="str">
        <f>F655</f>
        <v>44DF6236</v>
      </c>
      <c r="H687" s="24" t="str">
        <f>G655</f>
        <v>F4995898</v>
      </c>
      <c r="I687" s="24" t="str">
        <f>B678</f>
        <v>E80780BD</v>
      </c>
      <c r="J687" s="25" t="str">
        <f>I655</f>
        <v>7E8867F7</v>
      </c>
      <c r="K687" s="24" t="str">
        <f>J655</f>
        <v>65AC67E6</v>
      </c>
      <c r="L687" s="24" t="str">
        <f>K655</f>
        <v>9C27A534</v>
      </c>
    </row>
    <row r="688" spans="1:13" x14ac:dyDescent="0.25">
      <c r="A688" s="2"/>
      <c r="B688" s="2"/>
      <c r="C688" s="30" t="s">
        <v>379</v>
      </c>
      <c r="D688" s="2">
        <v>19</v>
      </c>
      <c r="E688" s="2"/>
      <c r="F688" s="2"/>
      <c r="G688" s="2"/>
      <c r="H688" s="2"/>
      <c r="I688" s="2"/>
      <c r="J688" s="2"/>
      <c r="K688" s="2"/>
      <c r="L688" s="2"/>
      <c r="M688" s="2"/>
    </row>
    <row r="689" spans="1:12" x14ac:dyDescent="0.25">
      <c r="D689" t="s">
        <v>380</v>
      </c>
      <c r="E689">
        <f>D688+1</f>
        <v>20</v>
      </c>
    </row>
    <row r="690" spans="1:12" x14ac:dyDescent="0.25">
      <c r="C690" s="27" t="s">
        <v>224</v>
      </c>
      <c r="E690" s="24" t="s">
        <v>8</v>
      </c>
      <c r="F690" s="24" t="s">
        <v>29</v>
      </c>
      <c r="G690" s="24" t="s">
        <v>30</v>
      </c>
      <c r="H690" s="24" t="s">
        <v>31</v>
      </c>
      <c r="I690" s="24" t="s">
        <v>221</v>
      </c>
      <c r="J690" s="24" t="s">
        <v>222</v>
      </c>
      <c r="K690" s="24" t="s">
        <v>34</v>
      </c>
      <c r="L690" s="24" t="s">
        <v>223</v>
      </c>
    </row>
    <row r="691" spans="1:12" x14ac:dyDescent="0.25">
      <c r="E691" s="24" t="str">
        <f t="shared" ref="E691:L691" si="19">E687</f>
        <v>03DA1200</v>
      </c>
      <c r="F691" s="24" t="str">
        <f t="shared" si="19"/>
        <v>58DA17BA</v>
      </c>
      <c r="G691" s="24" t="str">
        <f t="shared" si="19"/>
        <v>44DF6236</v>
      </c>
      <c r="H691" s="24" t="str">
        <f t="shared" si="19"/>
        <v>F4995898</v>
      </c>
      <c r="I691" s="25" t="str">
        <f t="shared" si="19"/>
        <v>E80780BD</v>
      </c>
      <c r="J691" s="24" t="str">
        <f t="shared" si="19"/>
        <v>7E8867F7</v>
      </c>
      <c r="K691" s="24" t="str">
        <f t="shared" si="19"/>
        <v>65AC67E6</v>
      </c>
      <c r="L691" s="24" t="str">
        <f t="shared" si="19"/>
        <v>9C27A534</v>
      </c>
    </row>
    <row r="693" spans="1:12" x14ac:dyDescent="0.25">
      <c r="A693" s="7" t="s">
        <v>363</v>
      </c>
      <c r="B693" s="7"/>
      <c r="C693" s="28" t="s">
        <v>223</v>
      </c>
      <c r="D693" s="26" t="s">
        <v>183</v>
      </c>
      <c r="E693" s="8" t="s">
        <v>365</v>
      </c>
      <c r="F693" s="26" t="s">
        <v>183</v>
      </c>
      <c r="G693" s="8" t="s">
        <v>366</v>
      </c>
      <c r="H693" s="26" t="s">
        <v>183</v>
      </c>
      <c r="I693" s="8" t="s">
        <v>367</v>
      </c>
      <c r="J693" s="26" t="s">
        <v>183</v>
      </c>
      <c r="K693" s="8" t="s">
        <v>368</v>
      </c>
    </row>
    <row r="694" spans="1:12" x14ac:dyDescent="0.25">
      <c r="A694" s="7"/>
    </row>
    <row r="695" spans="1:12" x14ac:dyDescent="0.25">
      <c r="A695" s="7"/>
      <c r="C695" s="27" t="str">
        <f>L691</f>
        <v>9C27A534</v>
      </c>
      <c r="E695" t="str" cm="1">
        <f t="array" ref="E695">BSIG1_H(I691)</f>
        <v>E3DD4006</v>
      </c>
      <c r="G695" t="str" cm="1">
        <f t="array" ref="G695">CH_H(I691,J691,K691)</f>
        <v>6DA867F7</v>
      </c>
      <c r="I695" t="str" cm="1">
        <f t="array" ref="I695">INDEX(Folha3!$C$15:$J$22,IF(MOD(E689,8)=0,0,1)+INT(E689/8),1+MOD(E689-1,8))</f>
        <v>240ca1cc</v>
      </c>
      <c r="K695" t="str" cm="1">
        <f t="array" ref="K695">INDEX(Folha3!$C$38:$BN$38,1,E689)</f>
        <v>A0195A3A</v>
      </c>
    </row>
    <row r="696" spans="1:12" x14ac:dyDescent="0.25">
      <c r="A696" s="7" t="s">
        <v>370</v>
      </c>
      <c r="C696" s="27" t="str" cm="1">
        <f t="array" ref="C696">HexToBits(C695)</f>
        <v>10011100001001111010010100110100</v>
      </c>
      <c r="E696" t="str" cm="1">
        <f t="array" ref="E696">HexToBits(E695)</f>
        <v>11100011110111010100000000000110</v>
      </c>
      <c r="G696" t="str" cm="1">
        <f t="array" ref="G696">HexToBits(G695)</f>
        <v>01101101101010000110011111110111</v>
      </c>
      <c r="I696" t="str" cm="1">
        <f t="array" ref="I696">HexToBits(I695)</f>
        <v>00100100000011001010000111001100</v>
      </c>
      <c r="K696" t="str" cm="1">
        <f t="array" ref="K696">HexToBits(K695)</f>
        <v>10100000000110010101101000111010</v>
      </c>
    </row>
    <row r="697" spans="1:12" x14ac:dyDescent="0.25">
      <c r="A697" s="7"/>
    </row>
    <row r="698" spans="1:12" x14ac:dyDescent="0.25">
      <c r="A698" s="7" t="s">
        <v>364</v>
      </c>
      <c r="B698" t="str">
        <f>_xlfn.BASE(
  (_xlfn.DECIMAL(C696,2)+_xlfn.DECIMAL(E696,2)+_xlfn.DECIMAL(G696,2)+_xlfn.DECIMAL(I696,2)+_xlfn.DECIMAL(K696,2))
  - (INT((_xlfn.DECIMAL(C696,2)+_xlfn.DECIMAL(E696,2)+_xlfn.DECIMAL(G696,2)+_xlfn.DECIMAL(I696,2)+_xlfn.DECIMAL(K696,2)) / 4294967296) * 4294967296),
  2,
  32
)</f>
        <v>10110001110100110100100100110111</v>
      </c>
    </row>
    <row r="699" spans="1:12" x14ac:dyDescent="0.25">
      <c r="A699" s="7" t="s">
        <v>369</v>
      </c>
      <c r="B699" t="str" cm="1">
        <f t="array" ref="B699">BitsToHex(B698)</f>
        <v>B1D34937</v>
      </c>
    </row>
    <row r="702" spans="1:12" x14ac:dyDescent="0.25">
      <c r="A702" s="7" t="s">
        <v>373</v>
      </c>
      <c r="B702" s="7"/>
      <c r="C702" s="29" t="s">
        <v>371</v>
      </c>
      <c r="D702" s="26" t="s">
        <v>183</v>
      </c>
      <c r="E702" s="8" t="s">
        <v>372</v>
      </c>
      <c r="J702" s="32"/>
    </row>
    <row r="703" spans="1:12" x14ac:dyDescent="0.25">
      <c r="A703" s="7"/>
    </row>
    <row r="704" spans="1:12" x14ac:dyDescent="0.25">
      <c r="A704" s="7"/>
      <c r="C704" s="27" t="str" cm="1">
        <f t="array" ref="C704">BSIG0_H(E691)</f>
        <v>F8BE9A5F</v>
      </c>
      <c r="E704" t="str" cm="1">
        <f t="array" ref="E704">MAJ_H(E691,F691,G691)</f>
        <v>40DA1232</v>
      </c>
    </row>
    <row r="705" spans="1:12" x14ac:dyDescent="0.25">
      <c r="A705" s="7" t="s">
        <v>370</v>
      </c>
      <c r="C705" s="27" t="str" cm="1">
        <f t="array" ref="C705">HexToBits(C704)</f>
        <v>11111000101111101001101001011111</v>
      </c>
      <c r="E705" t="str" cm="1">
        <f t="array" ref="E705">HexToBits(E704)</f>
        <v>01000000110110100001001000110010</v>
      </c>
    </row>
    <row r="706" spans="1:12" x14ac:dyDescent="0.25">
      <c r="A706" s="7"/>
    </row>
    <row r="707" spans="1:12" x14ac:dyDescent="0.25">
      <c r="A707" s="7" t="s">
        <v>373</v>
      </c>
      <c r="B707" t="str">
        <f>_xlfn.BASE(MOD(_xlfn.DECIMAL(C705,2) + _xlfn.DECIMAL(E705,2), 4294967296), 2, 32)</f>
        <v>00111001100110001010110010010001</v>
      </c>
    </row>
    <row r="708" spans="1:12" x14ac:dyDescent="0.25">
      <c r="A708" s="7" t="s">
        <v>369</v>
      </c>
      <c r="B708" t="str" cm="1">
        <f t="array" ref="B708">BitsToHex(B707)</f>
        <v>3998AC91</v>
      </c>
    </row>
    <row r="709" spans="1:12" x14ac:dyDescent="0.25">
      <c r="A709" s="7"/>
    </row>
    <row r="710" spans="1:12" x14ac:dyDescent="0.25">
      <c r="A710" s="7" t="s">
        <v>374</v>
      </c>
      <c r="C710" s="28" t="s">
        <v>31</v>
      </c>
      <c r="D710" s="26" t="s">
        <v>183</v>
      </c>
      <c r="E710" s="7" t="s">
        <v>227</v>
      </c>
    </row>
    <row r="711" spans="1:12" x14ac:dyDescent="0.25">
      <c r="A711" s="7"/>
      <c r="C711" s="28"/>
      <c r="D711" s="26"/>
      <c r="E711" s="7"/>
      <c r="L711" s="16"/>
    </row>
    <row r="712" spans="1:12" x14ac:dyDescent="0.25">
      <c r="C712" s="27" t="str" cm="1">
        <f t="array" ref="C712">HexToBits(H691)</f>
        <v>11110100100110010101100010011000</v>
      </c>
      <c r="D712" s="26"/>
      <c r="E712" t="str">
        <f>B698</f>
        <v>10110001110100110100100100110111</v>
      </c>
    </row>
    <row r="713" spans="1:12" x14ac:dyDescent="0.25">
      <c r="A713" s="7" t="s">
        <v>374</v>
      </c>
      <c r="B713" t="str">
        <f>_xlfn.BASE(MOD(_xlfn.DECIMAL(C712,2) + _xlfn.DECIMAL(E712,2), 4294967296), 2, 32)</f>
        <v>10100110011011001010000111001111</v>
      </c>
      <c r="D713" s="16"/>
    </row>
    <row r="714" spans="1:12" x14ac:dyDescent="0.25">
      <c r="A714" s="7" t="s">
        <v>375</v>
      </c>
      <c r="B714" t="str" cm="1">
        <f t="array" ref="B714">BitsToHex(B713)</f>
        <v>A66CA1CF</v>
      </c>
      <c r="C714" s="28"/>
      <c r="D714" s="26"/>
      <c r="E714" s="7"/>
    </row>
    <row r="715" spans="1:12" x14ac:dyDescent="0.25">
      <c r="A715" s="7"/>
      <c r="C715" s="28"/>
      <c r="D715" s="26"/>
      <c r="E715" s="7"/>
    </row>
    <row r="716" spans="1:12" x14ac:dyDescent="0.25">
      <c r="A716" s="7" t="s">
        <v>376</v>
      </c>
      <c r="C716" s="28" t="s">
        <v>377</v>
      </c>
      <c r="D716" s="26" t="s">
        <v>183</v>
      </c>
      <c r="E716" s="7" t="s">
        <v>378</v>
      </c>
    </row>
    <row r="717" spans="1:12" x14ac:dyDescent="0.25">
      <c r="A717" s="7"/>
      <c r="C717" s="27" t="str">
        <f>B698</f>
        <v>10110001110100110100100100110111</v>
      </c>
      <c r="D717" s="16"/>
      <c r="E717" t="str">
        <f>B707</f>
        <v>00111001100110001010110010010001</v>
      </c>
    </row>
    <row r="718" spans="1:12" x14ac:dyDescent="0.25">
      <c r="A718" s="7"/>
      <c r="C718" s="28"/>
      <c r="D718" s="26"/>
      <c r="E718" s="7"/>
    </row>
    <row r="719" spans="1:12" x14ac:dyDescent="0.25">
      <c r="A719" s="7" t="s">
        <v>376</v>
      </c>
      <c r="B719" t="str">
        <f>_xlfn.BASE(MOD(_xlfn.DECIMAL(C717,2) + _xlfn.DECIMAL(E717,2), 4294967296), 2, 32)</f>
        <v>11101011011010111111010111001000</v>
      </c>
      <c r="C719" s="28"/>
      <c r="D719" s="26"/>
      <c r="E719" s="7"/>
    </row>
    <row r="720" spans="1:12" x14ac:dyDescent="0.25">
      <c r="A720" s="7" t="s">
        <v>375</v>
      </c>
      <c r="B720" t="str" cm="1">
        <f t="array" ref="B720">BitsToHex(B719)</f>
        <v>EB6BF5C8</v>
      </c>
    </row>
    <row r="722" spans="1:13" x14ac:dyDescent="0.25">
      <c r="C722" s="27" t="s">
        <v>225</v>
      </c>
      <c r="E722" s="24" t="s">
        <v>8</v>
      </c>
      <c r="F722" s="24" t="s">
        <v>29</v>
      </c>
      <c r="G722" s="24" t="s">
        <v>30</v>
      </c>
      <c r="H722" s="24" t="s">
        <v>31</v>
      </c>
      <c r="I722" s="24" t="s">
        <v>221</v>
      </c>
      <c r="J722" s="24" t="s">
        <v>222</v>
      </c>
      <c r="K722" s="24" t="s">
        <v>34</v>
      </c>
      <c r="L722" s="24" t="s">
        <v>223</v>
      </c>
    </row>
    <row r="723" spans="1:13" x14ac:dyDescent="0.25">
      <c r="E723" s="24" t="str">
        <f>B720</f>
        <v>EB6BF5C8</v>
      </c>
      <c r="F723" s="24" t="str">
        <f>E691</f>
        <v>03DA1200</v>
      </c>
      <c r="G723" s="24" t="str">
        <f>F691</f>
        <v>58DA17BA</v>
      </c>
      <c r="H723" s="24" t="str">
        <f>G691</f>
        <v>44DF6236</v>
      </c>
      <c r="I723" s="24" t="str">
        <f>B714</f>
        <v>A66CA1CF</v>
      </c>
      <c r="J723" s="25" t="str">
        <f>I691</f>
        <v>E80780BD</v>
      </c>
      <c r="K723" s="24" t="str">
        <f>J691</f>
        <v>7E8867F7</v>
      </c>
      <c r="L723" s="24" t="str">
        <f>K691</f>
        <v>65AC67E6</v>
      </c>
    </row>
    <row r="724" spans="1:13" x14ac:dyDescent="0.25">
      <c r="A724" s="2"/>
      <c r="B724" s="2"/>
      <c r="C724" s="30" t="s">
        <v>379</v>
      </c>
      <c r="D724" s="2">
        <v>20</v>
      </c>
      <c r="E724" s="2"/>
      <c r="F724" s="2"/>
      <c r="G724" s="2"/>
      <c r="H724" s="2"/>
      <c r="I724" s="2"/>
      <c r="J724" s="2"/>
      <c r="K724" s="2"/>
      <c r="L724" s="2"/>
      <c r="M724" s="2"/>
    </row>
    <row r="725" spans="1:13" x14ac:dyDescent="0.25">
      <c r="D725" t="s">
        <v>380</v>
      </c>
      <c r="E725">
        <f>D724+1</f>
        <v>21</v>
      </c>
    </row>
    <row r="726" spans="1:13" x14ac:dyDescent="0.25">
      <c r="C726" s="27" t="s">
        <v>224</v>
      </c>
      <c r="E726" s="24" t="s">
        <v>8</v>
      </c>
      <c r="F726" s="24" t="s">
        <v>29</v>
      </c>
      <c r="G726" s="24" t="s">
        <v>30</v>
      </c>
      <c r="H726" s="24" t="s">
        <v>31</v>
      </c>
      <c r="I726" s="24" t="s">
        <v>221</v>
      </c>
      <c r="J726" s="24" t="s">
        <v>222</v>
      </c>
      <c r="K726" s="24" t="s">
        <v>34</v>
      </c>
      <c r="L726" s="24" t="s">
        <v>223</v>
      </c>
    </row>
    <row r="727" spans="1:13" x14ac:dyDescent="0.25">
      <c r="E727" s="24" t="str">
        <f t="shared" ref="E727:L727" si="20">E723</f>
        <v>EB6BF5C8</v>
      </c>
      <c r="F727" s="24" t="str">
        <f t="shared" si="20"/>
        <v>03DA1200</v>
      </c>
      <c r="G727" s="24" t="str">
        <f t="shared" si="20"/>
        <v>58DA17BA</v>
      </c>
      <c r="H727" s="24" t="str">
        <f t="shared" si="20"/>
        <v>44DF6236</v>
      </c>
      <c r="I727" s="25" t="str">
        <f t="shared" si="20"/>
        <v>A66CA1CF</v>
      </c>
      <c r="J727" s="24" t="str">
        <f t="shared" si="20"/>
        <v>E80780BD</v>
      </c>
      <c r="K727" s="24" t="str">
        <f t="shared" si="20"/>
        <v>7E8867F7</v>
      </c>
      <c r="L727" s="24" t="str">
        <f t="shared" si="20"/>
        <v>65AC67E6</v>
      </c>
    </row>
    <row r="729" spans="1:13" x14ac:dyDescent="0.25">
      <c r="A729" s="7" t="s">
        <v>363</v>
      </c>
      <c r="B729" s="7"/>
      <c r="C729" s="28" t="s">
        <v>223</v>
      </c>
      <c r="D729" s="26" t="s">
        <v>183</v>
      </c>
      <c r="E729" s="8" t="s">
        <v>365</v>
      </c>
      <c r="F729" s="26" t="s">
        <v>183</v>
      </c>
      <c r="G729" s="8" t="s">
        <v>366</v>
      </c>
      <c r="H729" s="26" t="s">
        <v>183</v>
      </c>
      <c r="I729" s="8" t="s">
        <v>367</v>
      </c>
      <c r="J729" s="26" t="s">
        <v>183</v>
      </c>
      <c r="K729" s="8" t="s">
        <v>368</v>
      </c>
    </row>
    <row r="730" spans="1:13" x14ac:dyDescent="0.25">
      <c r="A730" s="7"/>
    </row>
    <row r="731" spans="1:13" x14ac:dyDescent="0.25">
      <c r="A731" s="7"/>
      <c r="C731" s="27" t="str">
        <f>L727</f>
        <v>65AC67E6</v>
      </c>
      <c r="E731" t="str" cm="1">
        <f t="array" ref="E731">BSIG1_H(I727)</f>
        <v>313D98C0</v>
      </c>
      <c r="G731" t="str" cm="1">
        <f t="array" ref="G731">CH_H(I727,J727,K727)</f>
        <v>F884C6BD</v>
      </c>
      <c r="I731" t="str" cm="1">
        <f t="array" ref="I731">INDEX(Folha3!$C$15:$J$22,IF(MOD(E725,8)=0,0,1)+INT(E725/8),1+MOD(E725-1,8))</f>
        <v>2de92c6f</v>
      </c>
      <c r="K731" t="str" cm="1">
        <f t="array" ref="K731">INDEX(Folha3!$C$38:$BN$38,1,E725)</f>
        <v>35D7BDB0</v>
      </c>
    </row>
    <row r="732" spans="1:13" x14ac:dyDescent="0.25">
      <c r="A732" s="7" t="s">
        <v>370</v>
      </c>
      <c r="C732" s="27" t="str" cm="1">
        <f t="array" ref="C732">HexToBits(C731)</f>
        <v>01100101101011000110011111100110</v>
      </c>
      <c r="E732" t="str" cm="1">
        <f t="array" ref="E732">HexToBits(E731)</f>
        <v>00110001001111011001100011000000</v>
      </c>
      <c r="G732" t="str" cm="1">
        <f t="array" ref="G732">HexToBits(G731)</f>
        <v>11111000100001001100011010111101</v>
      </c>
      <c r="I732" t="str" cm="1">
        <f t="array" ref="I732">HexToBits(I731)</f>
        <v>00101101111010010010110001101111</v>
      </c>
      <c r="K732" t="str" cm="1">
        <f t="array" ref="K732">HexToBits(K731)</f>
        <v>00110101110101111011110110110000</v>
      </c>
    </row>
    <row r="733" spans="1:13" x14ac:dyDescent="0.25">
      <c r="A733" s="7"/>
    </row>
    <row r="734" spans="1:13" x14ac:dyDescent="0.25">
      <c r="A734" s="7" t="s">
        <v>364</v>
      </c>
      <c r="B734" t="str">
        <f>_xlfn.BASE(
  (_xlfn.DECIMAL(C732,2)+_xlfn.DECIMAL(E732,2)+_xlfn.DECIMAL(G732,2)+_xlfn.DECIMAL(I732,2)+_xlfn.DECIMAL(K732,2))
  - (INT((_xlfn.DECIMAL(C732,2)+_xlfn.DECIMAL(E732,2)+_xlfn.DECIMAL(G732,2)+_xlfn.DECIMAL(I732,2)+_xlfn.DECIMAL(K732,2)) / 4294967296) * 4294967296),
  2,
  32
)</f>
        <v>11110011001011111011000110000010</v>
      </c>
    </row>
    <row r="735" spans="1:13" x14ac:dyDescent="0.25">
      <c r="A735" s="7" t="s">
        <v>369</v>
      </c>
      <c r="B735" t="str" cm="1">
        <f t="array" ref="B735">BitsToHex(B734)</f>
        <v>F32FB182</v>
      </c>
    </row>
    <row r="738" spans="1:12" x14ac:dyDescent="0.25">
      <c r="A738" s="7" t="s">
        <v>373</v>
      </c>
      <c r="B738" s="7"/>
      <c r="C738" s="29" t="s">
        <v>371</v>
      </c>
      <c r="D738" s="26" t="s">
        <v>183</v>
      </c>
      <c r="E738" s="8" t="s">
        <v>372</v>
      </c>
      <c r="J738" s="32"/>
    </row>
    <row r="739" spans="1:12" x14ac:dyDescent="0.25">
      <c r="A739" s="7"/>
    </row>
    <row r="740" spans="1:12" x14ac:dyDescent="0.25">
      <c r="A740" s="7"/>
      <c r="C740" s="27" t="str" cm="1">
        <f t="array" ref="C740">BSIG0_H(E727)</f>
        <v>3B4A8580</v>
      </c>
      <c r="E740" t="str" cm="1">
        <f t="array" ref="E740">MAJ_H(E727,F727,G727)</f>
        <v>4BDA1788</v>
      </c>
    </row>
    <row r="741" spans="1:12" x14ac:dyDescent="0.25">
      <c r="A741" s="7" t="s">
        <v>370</v>
      </c>
      <c r="C741" s="27" t="str" cm="1">
        <f t="array" ref="C741">HexToBits(C740)</f>
        <v>00111011010010101000010110000000</v>
      </c>
      <c r="E741" t="str" cm="1">
        <f t="array" ref="E741">HexToBits(E740)</f>
        <v>01001011110110100001011110001000</v>
      </c>
    </row>
    <row r="742" spans="1:12" x14ac:dyDescent="0.25">
      <c r="A742" s="7"/>
    </row>
    <row r="743" spans="1:12" x14ac:dyDescent="0.25">
      <c r="A743" s="7" t="s">
        <v>373</v>
      </c>
      <c r="B743" t="str">
        <f>_xlfn.BASE(MOD(_xlfn.DECIMAL(C741,2) + _xlfn.DECIMAL(E741,2), 4294967296), 2, 32)</f>
        <v>10000111001001001001110100001000</v>
      </c>
    </row>
    <row r="744" spans="1:12" x14ac:dyDescent="0.25">
      <c r="A744" s="7" t="s">
        <v>369</v>
      </c>
      <c r="B744" t="str" cm="1">
        <f t="array" ref="B744">BitsToHex(B743)</f>
        <v>87249D08</v>
      </c>
    </row>
    <row r="745" spans="1:12" x14ac:dyDescent="0.25">
      <c r="A745" s="7"/>
    </row>
    <row r="746" spans="1:12" x14ac:dyDescent="0.25">
      <c r="A746" s="7" t="s">
        <v>374</v>
      </c>
      <c r="C746" s="28" t="s">
        <v>31</v>
      </c>
      <c r="D746" s="26" t="s">
        <v>183</v>
      </c>
      <c r="E746" s="7" t="s">
        <v>227</v>
      </c>
    </row>
    <row r="747" spans="1:12" x14ac:dyDescent="0.25">
      <c r="A747" s="7"/>
      <c r="C747" s="28"/>
      <c r="D747" s="26"/>
      <c r="E747" s="7"/>
      <c r="L747" s="16"/>
    </row>
    <row r="748" spans="1:12" x14ac:dyDescent="0.25">
      <c r="C748" s="27" t="str" cm="1">
        <f t="array" ref="C748">HexToBits(H727)</f>
        <v>01000100110111110110001000110110</v>
      </c>
      <c r="D748" s="26"/>
      <c r="E748" t="str">
        <f>B734</f>
        <v>11110011001011111011000110000010</v>
      </c>
    </row>
    <row r="749" spans="1:12" x14ac:dyDescent="0.25">
      <c r="A749" s="7" t="s">
        <v>374</v>
      </c>
      <c r="B749" t="str">
        <f>_xlfn.BASE(MOD(_xlfn.DECIMAL(C748,2) + _xlfn.DECIMAL(E748,2), 4294967296), 2, 32)</f>
        <v>00111000000011110001001110111000</v>
      </c>
      <c r="D749" s="16"/>
    </row>
    <row r="750" spans="1:12" x14ac:dyDescent="0.25">
      <c r="A750" s="7" t="s">
        <v>375</v>
      </c>
      <c r="B750" t="str" cm="1">
        <f t="array" ref="B750">BitsToHex(B749)</f>
        <v>380F13B8</v>
      </c>
      <c r="C750" s="28"/>
      <c r="D750" s="26"/>
      <c r="E750" s="7"/>
    </row>
    <row r="751" spans="1:12" x14ac:dyDescent="0.25">
      <c r="A751" s="7"/>
      <c r="C751" s="28"/>
      <c r="D751" s="26"/>
      <c r="E751" s="7"/>
    </row>
    <row r="752" spans="1:12" x14ac:dyDescent="0.25">
      <c r="A752" s="7" t="s">
        <v>376</v>
      </c>
      <c r="C752" s="28" t="s">
        <v>377</v>
      </c>
      <c r="D752" s="26" t="s">
        <v>183</v>
      </c>
      <c r="E752" s="7" t="s">
        <v>378</v>
      </c>
    </row>
    <row r="753" spans="1:13" x14ac:dyDescent="0.25">
      <c r="A753" s="7"/>
      <c r="C753" s="27" t="str">
        <f>B734</f>
        <v>11110011001011111011000110000010</v>
      </c>
      <c r="D753" s="16"/>
      <c r="E753" t="str">
        <f>B743</f>
        <v>10000111001001001001110100001000</v>
      </c>
    </row>
    <row r="754" spans="1:13" x14ac:dyDescent="0.25">
      <c r="A754" s="7"/>
      <c r="C754" s="28"/>
      <c r="D754" s="26"/>
      <c r="E754" s="7"/>
    </row>
    <row r="755" spans="1:13" x14ac:dyDescent="0.25">
      <c r="A755" s="7" t="s">
        <v>376</v>
      </c>
      <c r="B755" t="str">
        <f>_xlfn.BASE(MOD(_xlfn.DECIMAL(C753,2) + _xlfn.DECIMAL(E753,2), 4294967296), 2, 32)</f>
        <v>01111010010101000100111010001010</v>
      </c>
      <c r="C755" s="28"/>
      <c r="D755" s="26"/>
      <c r="E755" s="7"/>
    </row>
    <row r="756" spans="1:13" x14ac:dyDescent="0.25">
      <c r="A756" s="7" t="s">
        <v>375</v>
      </c>
      <c r="B756" t="str" cm="1">
        <f t="array" ref="B756">BitsToHex(B755)</f>
        <v>7A544E8A</v>
      </c>
    </row>
    <row r="758" spans="1:13" x14ac:dyDescent="0.25">
      <c r="C758" s="27" t="s">
        <v>225</v>
      </c>
      <c r="E758" s="24" t="s">
        <v>8</v>
      </c>
      <c r="F758" s="24" t="s">
        <v>29</v>
      </c>
      <c r="G758" s="24" t="s">
        <v>30</v>
      </c>
      <c r="H758" s="24" t="s">
        <v>31</v>
      </c>
      <c r="I758" s="24" t="s">
        <v>221</v>
      </c>
      <c r="J758" s="24" t="s">
        <v>222</v>
      </c>
      <c r="K758" s="24" t="s">
        <v>34</v>
      </c>
      <c r="L758" s="24" t="s">
        <v>223</v>
      </c>
    </row>
    <row r="759" spans="1:13" x14ac:dyDescent="0.25">
      <c r="E759" s="24" t="str">
        <f>B756</f>
        <v>7A544E8A</v>
      </c>
      <c r="F759" s="24" t="str">
        <f>E727</f>
        <v>EB6BF5C8</v>
      </c>
      <c r="G759" s="24" t="str">
        <f>F727</f>
        <v>03DA1200</v>
      </c>
      <c r="H759" s="24" t="str">
        <f>G727</f>
        <v>58DA17BA</v>
      </c>
      <c r="I759" s="24" t="str">
        <f>B750</f>
        <v>380F13B8</v>
      </c>
      <c r="J759" s="25" t="str">
        <f>I727</f>
        <v>A66CA1CF</v>
      </c>
      <c r="K759" s="24" t="str">
        <f>J727</f>
        <v>E80780BD</v>
      </c>
      <c r="L759" s="24" t="str">
        <f>K727</f>
        <v>7E8867F7</v>
      </c>
    </row>
    <row r="760" spans="1:13" x14ac:dyDescent="0.25">
      <c r="A760" s="2"/>
      <c r="B760" s="2"/>
      <c r="C760" s="30" t="s">
        <v>379</v>
      </c>
      <c r="D760" s="2">
        <v>21</v>
      </c>
      <c r="E760" s="2"/>
      <c r="F760" s="2"/>
      <c r="G760" s="2"/>
      <c r="H760" s="2"/>
      <c r="I760" s="2"/>
      <c r="J760" s="2"/>
      <c r="K760" s="2"/>
      <c r="L760" s="2"/>
      <c r="M760" s="2"/>
    </row>
    <row r="761" spans="1:13" x14ac:dyDescent="0.25">
      <c r="D761" t="s">
        <v>380</v>
      </c>
      <c r="E761">
        <f>D760+1</f>
        <v>22</v>
      </c>
    </row>
    <row r="762" spans="1:13" x14ac:dyDescent="0.25">
      <c r="C762" s="27" t="s">
        <v>224</v>
      </c>
      <c r="E762" s="24" t="s">
        <v>8</v>
      </c>
      <c r="F762" s="24" t="s">
        <v>29</v>
      </c>
      <c r="G762" s="24" t="s">
        <v>30</v>
      </c>
      <c r="H762" s="24" t="s">
        <v>31</v>
      </c>
      <c r="I762" s="24" t="s">
        <v>221</v>
      </c>
      <c r="J762" s="24" t="s">
        <v>222</v>
      </c>
      <c r="K762" s="24" t="s">
        <v>34</v>
      </c>
      <c r="L762" s="24" t="s">
        <v>223</v>
      </c>
    </row>
    <row r="763" spans="1:13" x14ac:dyDescent="0.25">
      <c r="E763" s="24" t="str">
        <f t="shared" ref="E763:L763" si="21">E759</f>
        <v>7A544E8A</v>
      </c>
      <c r="F763" s="24" t="str">
        <f t="shared" si="21"/>
        <v>EB6BF5C8</v>
      </c>
      <c r="G763" s="24" t="str">
        <f t="shared" si="21"/>
        <v>03DA1200</v>
      </c>
      <c r="H763" s="24" t="str">
        <f t="shared" si="21"/>
        <v>58DA17BA</v>
      </c>
      <c r="I763" s="25" t="str">
        <f t="shared" si="21"/>
        <v>380F13B8</v>
      </c>
      <c r="J763" s="24" t="str">
        <f t="shared" si="21"/>
        <v>A66CA1CF</v>
      </c>
      <c r="K763" s="24" t="str">
        <f t="shared" si="21"/>
        <v>E80780BD</v>
      </c>
      <c r="L763" s="24" t="str">
        <f t="shared" si="21"/>
        <v>7E8867F7</v>
      </c>
    </row>
    <row r="765" spans="1:13" x14ac:dyDescent="0.25">
      <c r="A765" s="7" t="s">
        <v>363</v>
      </c>
      <c r="B765" s="7"/>
      <c r="C765" s="28" t="s">
        <v>223</v>
      </c>
      <c r="D765" s="26" t="s">
        <v>183</v>
      </c>
      <c r="E765" s="8" t="s">
        <v>365</v>
      </c>
      <c r="F765" s="26" t="s">
        <v>183</v>
      </c>
      <c r="G765" s="8" t="s">
        <v>366</v>
      </c>
      <c r="H765" s="26" t="s">
        <v>183</v>
      </c>
      <c r="I765" s="8" t="s">
        <v>367</v>
      </c>
      <c r="J765" s="26" t="s">
        <v>183</v>
      </c>
      <c r="K765" s="8" t="s">
        <v>368</v>
      </c>
    </row>
    <row r="766" spans="1:13" x14ac:dyDescent="0.25">
      <c r="A766" s="7"/>
    </row>
    <row r="767" spans="1:13" x14ac:dyDescent="0.25">
      <c r="A767" s="7"/>
      <c r="C767" s="27" t="str">
        <f>L763</f>
        <v>7E8867F7</v>
      </c>
      <c r="E767" t="str" cm="1">
        <f t="array" ref="E767">BSIG1_H(I763)</f>
        <v>906EE1B0</v>
      </c>
      <c r="G767" t="str" cm="1">
        <f t="array" ref="G767">CH_H(I763,J763,K763)</f>
        <v>E00C818D</v>
      </c>
      <c r="I767" t="str" cm="1">
        <f t="array" ref="I767">INDEX(Folha3!$C$15:$J$22,IF(MOD(E761,8)=0,0,1)+INT(E761/8),1+MOD(E761-1,8))</f>
        <v>4a7484aa</v>
      </c>
      <c r="K767" t="str" cm="1">
        <f t="array" ref="K767">INDEX(Folha3!$C$38:$BN$38,1,E761)</f>
        <v>86720259</v>
      </c>
    </row>
    <row r="768" spans="1:13" x14ac:dyDescent="0.25">
      <c r="A768" s="7" t="s">
        <v>370</v>
      </c>
      <c r="C768" s="27" t="str" cm="1">
        <f t="array" ref="C768">HexToBits(C767)</f>
        <v>01111110100010000110011111110111</v>
      </c>
      <c r="E768" t="str" cm="1">
        <f t="array" ref="E768">HexToBits(E767)</f>
        <v>10010000011011101110000110110000</v>
      </c>
      <c r="G768" t="str" cm="1">
        <f t="array" ref="G768">HexToBits(G767)</f>
        <v>11100000000011001000000110001101</v>
      </c>
      <c r="I768" t="str" cm="1">
        <f t="array" ref="I768">HexToBits(I767)</f>
        <v>01001010011101001000010010101010</v>
      </c>
      <c r="K768" t="str" cm="1">
        <f t="array" ref="K768">HexToBits(K767)</f>
        <v>10000110011100100000001001011001</v>
      </c>
    </row>
    <row r="769" spans="1:12" x14ac:dyDescent="0.25">
      <c r="A769" s="7"/>
    </row>
    <row r="770" spans="1:12" x14ac:dyDescent="0.25">
      <c r="A770" s="7" t="s">
        <v>364</v>
      </c>
      <c r="B770" t="str">
        <f>_xlfn.BASE(
  (_xlfn.DECIMAL(C768,2)+_xlfn.DECIMAL(E768,2)+_xlfn.DECIMAL(G768,2)+_xlfn.DECIMAL(I768,2)+_xlfn.DECIMAL(K768,2))
  - (INT((_xlfn.DECIMAL(C768,2)+_xlfn.DECIMAL(E768,2)+_xlfn.DECIMAL(G768,2)+_xlfn.DECIMAL(I768,2)+_xlfn.DECIMAL(K768,2)) / 4294967296) * 4294967296),
  2,
  32
)</f>
        <v>10111111111010100101001000110111</v>
      </c>
    </row>
    <row r="771" spans="1:12" x14ac:dyDescent="0.25">
      <c r="A771" s="7" t="s">
        <v>369</v>
      </c>
      <c r="B771" t="str" cm="1">
        <f t="array" ref="B771">BitsToHex(B770)</f>
        <v>BFEA5237</v>
      </c>
    </row>
    <row r="774" spans="1:12" x14ac:dyDescent="0.25">
      <c r="A774" s="7" t="s">
        <v>373</v>
      </c>
      <c r="B774" s="7"/>
      <c r="C774" s="29" t="s">
        <v>371</v>
      </c>
      <c r="D774" s="26" t="s">
        <v>183</v>
      </c>
      <c r="E774" s="8" t="s">
        <v>372</v>
      </c>
      <c r="J774" s="32"/>
    </row>
    <row r="775" spans="1:12" x14ac:dyDescent="0.25">
      <c r="A775" s="7"/>
    </row>
    <row r="776" spans="1:12" x14ac:dyDescent="0.25">
      <c r="A776" s="7"/>
      <c r="C776" s="27" t="str" cm="1">
        <f t="array" ref="C776">BSIG0_H(E763)</f>
        <v>BBFCE8E9</v>
      </c>
      <c r="E776" t="str" cm="1">
        <f t="array" ref="E776">MAJ_H(E763,F763,G763)</f>
        <v>6B5A5688</v>
      </c>
    </row>
    <row r="777" spans="1:12" x14ac:dyDescent="0.25">
      <c r="A777" s="7" t="s">
        <v>370</v>
      </c>
      <c r="C777" s="27" t="str" cm="1">
        <f t="array" ref="C777">HexToBits(C776)</f>
        <v>10111011111111001110100011101001</v>
      </c>
      <c r="E777" t="str" cm="1">
        <f t="array" ref="E777">HexToBits(E776)</f>
        <v>01101011010110100101011010001000</v>
      </c>
    </row>
    <row r="778" spans="1:12" x14ac:dyDescent="0.25">
      <c r="A778" s="7"/>
    </row>
    <row r="779" spans="1:12" x14ac:dyDescent="0.25">
      <c r="A779" s="7" t="s">
        <v>373</v>
      </c>
      <c r="B779" t="str">
        <f>_xlfn.BASE(MOD(_xlfn.DECIMAL(C777,2) + _xlfn.DECIMAL(E777,2), 4294967296), 2, 32)</f>
        <v>00100111010101110011111101110001</v>
      </c>
    </row>
    <row r="780" spans="1:12" x14ac:dyDescent="0.25">
      <c r="A780" s="7" t="s">
        <v>369</v>
      </c>
      <c r="B780" t="str" cm="1">
        <f t="array" ref="B780">BitsToHex(B779)</f>
        <v>27573F71</v>
      </c>
    </row>
    <row r="781" spans="1:12" x14ac:dyDescent="0.25">
      <c r="A781" s="7"/>
    </row>
    <row r="782" spans="1:12" x14ac:dyDescent="0.25">
      <c r="A782" s="7" t="s">
        <v>374</v>
      </c>
      <c r="C782" s="28" t="s">
        <v>31</v>
      </c>
      <c r="D782" s="26" t="s">
        <v>183</v>
      </c>
      <c r="E782" s="7" t="s">
        <v>227</v>
      </c>
    </row>
    <row r="783" spans="1:12" x14ac:dyDescent="0.25">
      <c r="A783" s="7"/>
      <c r="C783" s="28"/>
      <c r="D783" s="26"/>
      <c r="E783" s="7"/>
      <c r="L783" s="16"/>
    </row>
    <row r="784" spans="1:12" x14ac:dyDescent="0.25">
      <c r="C784" s="27" t="str" cm="1">
        <f t="array" ref="C784">HexToBits(H763)</f>
        <v>01011000110110100001011110111010</v>
      </c>
      <c r="D784" s="26"/>
      <c r="E784" t="str">
        <f>B770</f>
        <v>10111111111010100101001000110111</v>
      </c>
    </row>
    <row r="785" spans="1:13" x14ac:dyDescent="0.25">
      <c r="A785" s="7" t="s">
        <v>374</v>
      </c>
      <c r="B785" t="str">
        <f>_xlfn.BASE(MOD(_xlfn.DECIMAL(C784,2) + _xlfn.DECIMAL(E784,2), 4294967296), 2, 32)</f>
        <v>00011000110001000110100111110001</v>
      </c>
      <c r="D785" s="16"/>
    </row>
    <row r="786" spans="1:13" x14ac:dyDescent="0.25">
      <c r="A786" s="7" t="s">
        <v>375</v>
      </c>
      <c r="B786" t="str" cm="1">
        <f t="array" ref="B786">BitsToHex(B785)</f>
        <v>18C469F1</v>
      </c>
      <c r="C786" s="28"/>
      <c r="D786" s="26"/>
      <c r="E786" s="7"/>
    </row>
    <row r="787" spans="1:13" x14ac:dyDescent="0.25">
      <c r="A787" s="7"/>
      <c r="C787" s="28"/>
      <c r="D787" s="26"/>
      <c r="E787" s="7"/>
    </row>
    <row r="788" spans="1:13" x14ac:dyDescent="0.25">
      <c r="A788" s="7" t="s">
        <v>376</v>
      </c>
      <c r="C788" s="28" t="s">
        <v>377</v>
      </c>
      <c r="D788" s="26" t="s">
        <v>183</v>
      </c>
      <c r="E788" s="7" t="s">
        <v>378</v>
      </c>
    </row>
    <row r="789" spans="1:13" x14ac:dyDescent="0.25">
      <c r="A789" s="7"/>
      <c r="C789" s="27" t="str">
        <f>B770</f>
        <v>10111111111010100101001000110111</v>
      </c>
      <c r="D789" s="16"/>
      <c r="E789" t="str">
        <f>B779</f>
        <v>00100111010101110011111101110001</v>
      </c>
    </row>
    <row r="790" spans="1:13" x14ac:dyDescent="0.25">
      <c r="A790" s="7"/>
      <c r="C790" s="28"/>
      <c r="D790" s="26"/>
      <c r="E790" s="7"/>
    </row>
    <row r="791" spans="1:13" x14ac:dyDescent="0.25">
      <c r="A791" s="7" t="s">
        <v>376</v>
      </c>
      <c r="B791" t="str">
        <f>_xlfn.BASE(MOD(_xlfn.DECIMAL(C789,2) + _xlfn.DECIMAL(E789,2), 4294967296), 2, 32)</f>
        <v>11100111010000011001000110101000</v>
      </c>
      <c r="C791" s="28"/>
      <c r="D791" s="26"/>
      <c r="E791" s="7"/>
    </row>
    <row r="792" spans="1:13" x14ac:dyDescent="0.25">
      <c r="A792" s="7" t="s">
        <v>375</v>
      </c>
      <c r="B792" t="str" cm="1">
        <f t="array" ref="B792">BitsToHex(B791)</f>
        <v>E74191A8</v>
      </c>
    </row>
    <row r="794" spans="1:13" x14ac:dyDescent="0.25">
      <c r="C794" s="27" t="s">
        <v>225</v>
      </c>
      <c r="E794" s="24" t="s">
        <v>8</v>
      </c>
      <c r="F794" s="24" t="s">
        <v>29</v>
      </c>
      <c r="G794" s="24" t="s">
        <v>30</v>
      </c>
      <c r="H794" s="24" t="s">
        <v>31</v>
      </c>
      <c r="I794" s="24" t="s">
        <v>221</v>
      </c>
      <c r="J794" s="24" t="s">
        <v>222</v>
      </c>
      <c r="K794" s="24" t="s">
        <v>34</v>
      </c>
      <c r="L794" s="24" t="s">
        <v>223</v>
      </c>
    </row>
    <row r="795" spans="1:13" x14ac:dyDescent="0.25">
      <c r="E795" s="24" t="str">
        <f>B792</f>
        <v>E74191A8</v>
      </c>
      <c r="F795" s="24" t="str">
        <f>E763</f>
        <v>7A544E8A</v>
      </c>
      <c r="G795" s="24" t="str">
        <f>F763</f>
        <v>EB6BF5C8</v>
      </c>
      <c r="H795" s="24" t="str">
        <f>G763</f>
        <v>03DA1200</v>
      </c>
      <c r="I795" s="24" t="str">
        <f>B786</f>
        <v>18C469F1</v>
      </c>
      <c r="J795" s="25" t="str">
        <f>I763</f>
        <v>380F13B8</v>
      </c>
      <c r="K795" s="24" t="str">
        <f>J763</f>
        <v>A66CA1CF</v>
      </c>
      <c r="L795" s="24" t="str">
        <f>K763</f>
        <v>E80780BD</v>
      </c>
    </row>
    <row r="796" spans="1:13" x14ac:dyDescent="0.25">
      <c r="A796" s="2"/>
      <c r="B796" s="2"/>
      <c r="C796" s="30" t="s">
        <v>379</v>
      </c>
      <c r="D796" s="2">
        <v>22</v>
      </c>
      <c r="E796" s="2"/>
      <c r="F796" s="2"/>
      <c r="G796" s="2"/>
      <c r="H796" s="2"/>
      <c r="I796" s="2"/>
      <c r="J796" s="2"/>
      <c r="K796" s="2"/>
      <c r="L796" s="2"/>
      <c r="M796" s="2"/>
    </row>
    <row r="797" spans="1:13" x14ac:dyDescent="0.25">
      <c r="D797" t="s">
        <v>380</v>
      </c>
      <c r="E797">
        <f>D796+1</f>
        <v>23</v>
      </c>
    </row>
    <row r="798" spans="1:13" x14ac:dyDescent="0.25">
      <c r="C798" s="27" t="s">
        <v>224</v>
      </c>
      <c r="E798" s="24" t="s">
        <v>8</v>
      </c>
      <c r="F798" s="24" t="s">
        <v>29</v>
      </c>
      <c r="G798" s="24" t="s">
        <v>30</v>
      </c>
      <c r="H798" s="24" t="s">
        <v>31</v>
      </c>
      <c r="I798" s="24" t="s">
        <v>221</v>
      </c>
      <c r="J798" s="24" t="s">
        <v>222</v>
      </c>
      <c r="K798" s="24" t="s">
        <v>34</v>
      </c>
      <c r="L798" s="24" t="s">
        <v>223</v>
      </c>
    </row>
    <row r="799" spans="1:13" x14ac:dyDescent="0.25">
      <c r="E799" s="24" t="str">
        <f t="shared" ref="E799:L799" si="22">E795</f>
        <v>E74191A8</v>
      </c>
      <c r="F799" s="24" t="str">
        <f t="shared" si="22"/>
        <v>7A544E8A</v>
      </c>
      <c r="G799" s="24" t="str">
        <f t="shared" si="22"/>
        <v>EB6BF5C8</v>
      </c>
      <c r="H799" s="24" t="str">
        <f t="shared" si="22"/>
        <v>03DA1200</v>
      </c>
      <c r="I799" s="25" t="str">
        <f t="shared" si="22"/>
        <v>18C469F1</v>
      </c>
      <c r="J799" s="24" t="str">
        <f t="shared" si="22"/>
        <v>380F13B8</v>
      </c>
      <c r="K799" s="24" t="str">
        <f t="shared" si="22"/>
        <v>A66CA1CF</v>
      </c>
      <c r="L799" s="24" t="str">
        <f t="shared" si="22"/>
        <v>E80780BD</v>
      </c>
    </row>
    <row r="801" spans="1:11" x14ac:dyDescent="0.25">
      <c r="A801" s="7" t="s">
        <v>363</v>
      </c>
      <c r="B801" s="7"/>
      <c r="C801" s="28" t="s">
        <v>223</v>
      </c>
      <c r="D801" s="26" t="s">
        <v>183</v>
      </c>
      <c r="E801" s="8" t="s">
        <v>365</v>
      </c>
      <c r="F801" s="26" t="s">
        <v>183</v>
      </c>
      <c r="G801" s="8" t="s">
        <v>366</v>
      </c>
      <c r="H801" s="26" t="s">
        <v>183</v>
      </c>
      <c r="I801" s="8" t="s">
        <v>367</v>
      </c>
      <c r="J801" s="26" t="s">
        <v>183</v>
      </c>
      <c r="K801" s="8" t="s">
        <v>368</v>
      </c>
    </row>
    <row r="802" spans="1:11" x14ac:dyDescent="0.25">
      <c r="A802" s="7"/>
    </row>
    <row r="803" spans="1:11" x14ac:dyDescent="0.25">
      <c r="A803" s="7"/>
      <c r="C803" s="27" t="str">
        <f>L799</f>
        <v>E80780BD</v>
      </c>
      <c r="E803" t="str" cm="1">
        <f t="array" ref="E803">BSIG1_H(I799)</f>
        <v>9874F1A6</v>
      </c>
      <c r="G803" t="str" cm="1">
        <f t="array" ref="G803">CH_H(I799,J799,K799)</f>
        <v>BE2C81BE</v>
      </c>
      <c r="I803" t="str" cm="1">
        <f t="array" ref="I803">INDEX(Folha3!$C$15:$J$22,IF(MOD(E797,8)=0,0,1)+INT(E797/8),1+MOD(E797-1,8))</f>
        <v>5cb0a9dc</v>
      </c>
      <c r="K803" t="str" cm="1">
        <f t="array" ref="K803">INDEX(Folha3!$C$38:$BN$38,1,E797)</f>
        <v>296369E6</v>
      </c>
    </row>
    <row r="804" spans="1:11" x14ac:dyDescent="0.25">
      <c r="A804" s="7" t="s">
        <v>370</v>
      </c>
      <c r="C804" s="27" t="str" cm="1">
        <f t="array" ref="C804">HexToBits(C803)</f>
        <v>11101000000001111000000010111101</v>
      </c>
      <c r="E804" t="str" cm="1">
        <f t="array" ref="E804">HexToBits(E803)</f>
        <v>10011000011101001111000110100110</v>
      </c>
      <c r="G804" t="str" cm="1">
        <f t="array" ref="G804">HexToBits(G803)</f>
        <v>10111110001011001000000110111110</v>
      </c>
      <c r="I804" t="str" cm="1">
        <f t="array" ref="I804">HexToBits(I803)</f>
        <v>01011100101100001010100111011100</v>
      </c>
      <c r="K804" t="str" cm="1">
        <f t="array" ref="K804">HexToBits(K803)</f>
        <v>00101001011000110110100111100110</v>
      </c>
    </row>
    <row r="805" spans="1:11" x14ac:dyDescent="0.25">
      <c r="A805" s="7"/>
    </row>
    <row r="806" spans="1:11" x14ac:dyDescent="0.25">
      <c r="A806" s="7" t="s">
        <v>364</v>
      </c>
      <c r="B806" t="str">
        <f>_xlfn.BASE(
  (_xlfn.DECIMAL(C804,2)+_xlfn.DECIMAL(E804,2)+_xlfn.DECIMAL(G804,2)+_xlfn.DECIMAL(I804,2)+_xlfn.DECIMAL(K804,2))
  - (INT((_xlfn.DECIMAL(C804,2)+_xlfn.DECIMAL(E804,2)+_xlfn.DECIMAL(G804,2)+_xlfn.DECIMAL(I804,2)+_xlfn.DECIMAL(K804,2)) / 4294967296) * 4294967296),
  2,
  32
)</f>
        <v>11000100101111010000011111100011</v>
      </c>
    </row>
    <row r="807" spans="1:11" x14ac:dyDescent="0.25">
      <c r="A807" s="7" t="s">
        <v>369</v>
      </c>
      <c r="B807" t="str" cm="1">
        <f t="array" ref="B807">BitsToHex(B806)</f>
        <v>C4BD07E3</v>
      </c>
    </row>
    <row r="810" spans="1:11" x14ac:dyDescent="0.25">
      <c r="A810" s="7" t="s">
        <v>373</v>
      </c>
      <c r="B810" s="7"/>
      <c r="C810" s="29" t="s">
        <v>371</v>
      </c>
      <c r="D810" s="26" t="s">
        <v>183</v>
      </c>
      <c r="E810" s="8" t="s">
        <v>372</v>
      </c>
      <c r="J810" s="32"/>
    </row>
    <row r="811" spans="1:11" x14ac:dyDescent="0.25">
      <c r="A811" s="7"/>
    </row>
    <row r="812" spans="1:11" x14ac:dyDescent="0.25">
      <c r="A812" s="7"/>
      <c r="C812" s="27" t="str" cm="1">
        <f t="array" ref="C812">BSIG0_H(E799)</f>
        <v>B2D1FDFB</v>
      </c>
      <c r="E812" t="str" cm="1">
        <f t="array" ref="E812">MAJ_H(E799,F799,G799)</f>
        <v>EB41D588</v>
      </c>
    </row>
    <row r="813" spans="1:11" x14ac:dyDescent="0.25">
      <c r="A813" s="7" t="s">
        <v>370</v>
      </c>
      <c r="C813" s="27" t="str" cm="1">
        <f t="array" ref="C813">HexToBits(C812)</f>
        <v>10110010110100011111110111111011</v>
      </c>
      <c r="E813" t="str" cm="1">
        <f t="array" ref="E813">HexToBits(E812)</f>
        <v>11101011010000011101010110001000</v>
      </c>
    </row>
    <row r="814" spans="1:11" x14ac:dyDescent="0.25">
      <c r="A814" s="7"/>
    </row>
    <row r="815" spans="1:11" x14ac:dyDescent="0.25">
      <c r="A815" s="7" t="s">
        <v>373</v>
      </c>
      <c r="B815" t="str">
        <f>_xlfn.BASE(MOD(_xlfn.DECIMAL(C813,2) + _xlfn.DECIMAL(E813,2), 4294967296), 2, 32)</f>
        <v>10011110000100111101001110000011</v>
      </c>
    </row>
    <row r="816" spans="1:11" x14ac:dyDescent="0.25">
      <c r="A816" s="7" t="s">
        <v>369</v>
      </c>
      <c r="B816" t="str" cm="1">
        <f t="array" ref="B816">BitsToHex(B815)</f>
        <v>9E13D383</v>
      </c>
    </row>
    <row r="817" spans="1:13" x14ac:dyDescent="0.25">
      <c r="A817" s="7"/>
    </row>
    <row r="818" spans="1:13" x14ac:dyDescent="0.25">
      <c r="A818" s="7" t="s">
        <v>374</v>
      </c>
      <c r="C818" s="28" t="s">
        <v>31</v>
      </c>
      <c r="D818" s="26" t="s">
        <v>183</v>
      </c>
      <c r="E818" s="7" t="s">
        <v>227</v>
      </c>
    </row>
    <row r="819" spans="1:13" x14ac:dyDescent="0.25">
      <c r="A819" s="7"/>
      <c r="C819" s="28"/>
      <c r="D819" s="26"/>
      <c r="E819" s="7"/>
      <c r="L819" s="16"/>
    </row>
    <row r="820" spans="1:13" x14ac:dyDescent="0.25">
      <c r="C820" s="27" t="str" cm="1">
        <f t="array" ref="C820">HexToBits(H799)</f>
        <v>00000011110110100001001000000000</v>
      </c>
      <c r="D820" s="26"/>
      <c r="E820" t="str">
        <f>B806</f>
        <v>11000100101111010000011111100011</v>
      </c>
    </row>
    <row r="821" spans="1:13" x14ac:dyDescent="0.25">
      <c r="A821" s="7" t="s">
        <v>374</v>
      </c>
      <c r="B821" t="str">
        <f>_xlfn.BASE(MOD(_xlfn.DECIMAL(C820,2) + _xlfn.DECIMAL(E820,2), 4294967296), 2, 32)</f>
        <v>11001000100101110001100111100011</v>
      </c>
      <c r="D821" s="16"/>
    </row>
    <row r="822" spans="1:13" x14ac:dyDescent="0.25">
      <c r="A822" s="7" t="s">
        <v>375</v>
      </c>
      <c r="B822" t="str" cm="1">
        <f t="array" ref="B822">BitsToHex(B821)</f>
        <v>C89719E3</v>
      </c>
      <c r="C822" s="28"/>
      <c r="D822" s="26"/>
      <c r="E822" s="7"/>
    </row>
    <row r="823" spans="1:13" x14ac:dyDescent="0.25">
      <c r="A823" s="7"/>
      <c r="C823" s="28"/>
      <c r="D823" s="26"/>
      <c r="E823" s="7"/>
    </row>
    <row r="824" spans="1:13" x14ac:dyDescent="0.25">
      <c r="A824" s="7" t="s">
        <v>376</v>
      </c>
      <c r="C824" s="28" t="s">
        <v>377</v>
      </c>
      <c r="D824" s="26" t="s">
        <v>183</v>
      </c>
      <c r="E824" s="7" t="s">
        <v>378</v>
      </c>
    </row>
    <row r="825" spans="1:13" x14ac:dyDescent="0.25">
      <c r="A825" s="7"/>
      <c r="C825" s="27" t="str">
        <f>B806</f>
        <v>11000100101111010000011111100011</v>
      </c>
      <c r="D825" s="16"/>
      <c r="E825" t="str">
        <f>B815</f>
        <v>10011110000100111101001110000011</v>
      </c>
    </row>
    <row r="826" spans="1:13" x14ac:dyDescent="0.25">
      <c r="A826" s="7"/>
      <c r="C826" s="28"/>
      <c r="D826" s="26"/>
      <c r="E826" s="7"/>
    </row>
    <row r="827" spans="1:13" x14ac:dyDescent="0.25">
      <c r="A827" s="7" t="s">
        <v>376</v>
      </c>
      <c r="B827" t="str">
        <f>_xlfn.BASE(MOD(_xlfn.DECIMAL(C825,2) + _xlfn.DECIMAL(E825,2), 4294967296), 2, 32)</f>
        <v>01100010110100001101101101100110</v>
      </c>
      <c r="C827" s="28"/>
      <c r="D827" s="26"/>
      <c r="E827" s="7"/>
    </row>
    <row r="828" spans="1:13" x14ac:dyDescent="0.25">
      <c r="A828" s="7" t="s">
        <v>375</v>
      </c>
      <c r="B828" t="str" cm="1">
        <f t="array" ref="B828">BitsToHex(B827)</f>
        <v>62D0DB66</v>
      </c>
    </row>
    <row r="830" spans="1:13" x14ac:dyDescent="0.25">
      <c r="C830" s="27" t="s">
        <v>225</v>
      </c>
      <c r="E830" s="24" t="s">
        <v>8</v>
      </c>
      <c r="F830" s="24" t="s">
        <v>29</v>
      </c>
      <c r="G830" s="24" t="s">
        <v>30</v>
      </c>
      <c r="H830" s="24" t="s">
        <v>31</v>
      </c>
      <c r="I830" s="24" t="s">
        <v>221</v>
      </c>
      <c r="J830" s="24" t="s">
        <v>222</v>
      </c>
      <c r="K830" s="24" t="s">
        <v>34</v>
      </c>
      <c r="L830" s="24" t="s">
        <v>223</v>
      </c>
    </row>
    <row r="831" spans="1:13" x14ac:dyDescent="0.25">
      <c r="E831" s="24" t="str">
        <f>B828</f>
        <v>62D0DB66</v>
      </c>
      <c r="F831" s="24" t="str">
        <f>E799</f>
        <v>E74191A8</v>
      </c>
      <c r="G831" s="24" t="str">
        <f>F799</f>
        <v>7A544E8A</v>
      </c>
      <c r="H831" s="24" t="str">
        <f>G799</f>
        <v>EB6BF5C8</v>
      </c>
      <c r="I831" s="24" t="str">
        <f>B822</f>
        <v>C89719E3</v>
      </c>
      <c r="J831" s="25" t="str">
        <f>I799</f>
        <v>18C469F1</v>
      </c>
      <c r="K831" s="24" t="str">
        <f>J799</f>
        <v>380F13B8</v>
      </c>
      <c r="L831" s="24" t="str">
        <f>K799</f>
        <v>A66CA1CF</v>
      </c>
    </row>
    <row r="832" spans="1:13" x14ac:dyDescent="0.25">
      <c r="A832" s="2"/>
      <c r="B832" s="2"/>
      <c r="C832" s="30" t="s">
        <v>379</v>
      </c>
      <c r="D832" s="2">
        <v>23</v>
      </c>
      <c r="E832" s="2"/>
      <c r="F832" s="2"/>
      <c r="G832" s="2"/>
      <c r="H832" s="2"/>
      <c r="I832" s="2"/>
      <c r="J832" s="2"/>
      <c r="K832" s="2"/>
      <c r="L832" s="2"/>
      <c r="M832" s="2"/>
    </row>
    <row r="833" spans="1:12" x14ac:dyDescent="0.25">
      <c r="D833" t="s">
        <v>380</v>
      </c>
      <c r="E833">
        <f>D832+1</f>
        <v>24</v>
      </c>
    </row>
    <row r="834" spans="1:12" x14ac:dyDescent="0.25">
      <c r="C834" s="27" t="s">
        <v>224</v>
      </c>
      <c r="E834" s="24" t="s">
        <v>8</v>
      </c>
      <c r="F834" s="24" t="s">
        <v>29</v>
      </c>
      <c r="G834" s="24" t="s">
        <v>30</v>
      </c>
      <c r="H834" s="24" t="s">
        <v>31</v>
      </c>
      <c r="I834" s="24" t="s">
        <v>221</v>
      </c>
      <c r="J834" s="24" t="s">
        <v>222</v>
      </c>
      <c r="K834" s="24" t="s">
        <v>34</v>
      </c>
      <c r="L834" s="24" t="s">
        <v>223</v>
      </c>
    </row>
    <row r="835" spans="1:12" x14ac:dyDescent="0.25">
      <c r="E835" s="24" t="str">
        <f t="shared" ref="E835:L835" si="23">E831</f>
        <v>62D0DB66</v>
      </c>
      <c r="F835" s="24" t="str">
        <f t="shared" si="23"/>
        <v>E74191A8</v>
      </c>
      <c r="G835" s="24" t="str">
        <f t="shared" si="23"/>
        <v>7A544E8A</v>
      </c>
      <c r="H835" s="24" t="str">
        <f t="shared" si="23"/>
        <v>EB6BF5C8</v>
      </c>
      <c r="I835" s="25" t="str">
        <f t="shared" si="23"/>
        <v>C89719E3</v>
      </c>
      <c r="J835" s="24" t="str">
        <f t="shared" si="23"/>
        <v>18C469F1</v>
      </c>
      <c r="K835" s="24" t="str">
        <f t="shared" si="23"/>
        <v>380F13B8</v>
      </c>
      <c r="L835" s="24" t="str">
        <f t="shared" si="23"/>
        <v>A66CA1CF</v>
      </c>
    </row>
    <row r="837" spans="1:12" x14ac:dyDescent="0.25">
      <c r="A837" s="7" t="s">
        <v>363</v>
      </c>
      <c r="B837" s="7"/>
      <c r="C837" s="28" t="s">
        <v>223</v>
      </c>
      <c r="D837" s="26" t="s">
        <v>183</v>
      </c>
      <c r="E837" s="8" t="s">
        <v>365</v>
      </c>
      <c r="F837" s="26" t="s">
        <v>183</v>
      </c>
      <c r="G837" s="8" t="s">
        <v>366</v>
      </c>
      <c r="H837" s="26" t="s">
        <v>183</v>
      </c>
      <c r="I837" s="8" t="s">
        <v>367</v>
      </c>
      <c r="J837" s="26" t="s">
        <v>183</v>
      </c>
      <c r="K837" s="8" t="s">
        <v>368</v>
      </c>
    </row>
    <row r="838" spans="1:12" x14ac:dyDescent="0.25">
      <c r="A838" s="7"/>
    </row>
    <row r="839" spans="1:12" x14ac:dyDescent="0.25">
      <c r="A839" s="7"/>
      <c r="C839" s="27" t="str">
        <f>L835</f>
        <v>A66CA1CF</v>
      </c>
      <c r="E839" t="str" cm="1">
        <f t="array" ref="E839">BSIG1_H(I835)</f>
        <v>F8D7BF60</v>
      </c>
      <c r="G839" t="str" cm="1">
        <f t="array" ref="G839">CH_H(I835,J835,K835)</f>
        <v>388C0BF9</v>
      </c>
      <c r="I839" t="str" cm="1">
        <f t="array" ref="I839">INDEX(Folha3!$C$15:$J$22,IF(MOD(E833,8)=0,0,1)+INT(E833/8),1+MOD(E833-1,8))</f>
        <v>76f988da</v>
      </c>
      <c r="K839" t="str" cm="1">
        <f t="array" ref="K839">INDEX(Folha3!$C$38:$BN$38,1,E833)</f>
        <v>4D26FC4C</v>
      </c>
    </row>
    <row r="840" spans="1:12" x14ac:dyDescent="0.25">
      <c r="A840" s="7" t="s">
        <v>370</v>
      </c>
      <c r="C840" s="27" t="str" cm="1">
        <f t="array" ref="C840">HexToBits(C839)</f>
        <v>10100110011011001010000111001111</v>
      </c>
      <c r="E840" t="str" cm="1">
        <f t="array" ref="E840">HexToBits(E839)</f>
        <v>11111000110101111011111101100000</v>
      </c>
      <c r="G840" t="str" cm="1">
        <f t="array" ref="G840">HexToBits(G839)</f>
        <v>00111000100011000000101111111001</v>
      </c>
      <c r="I840" t="str" cm="1">
        <f t="array" ref="I840">HexToBits(I839)</f>
        <v>01110110111110011000100011011010</v>
      </c>
      <c r="K840" t="str" cm="1">
        <f t="array" ref="K840">HexToBits(K839)</f>
        <v>01001101001001101111110001001100</v>
      </c>
    </row>
    <row r="841" spans="1:12" x14ac:dyDescent="0.25">
      <c r="A841" s="7"/>
    </row>
    <row r="842" spans="1:12" x14ac:dyDescent="0.25">
      <c r="A842" s="7" t="s">
        <v>364</v>
      </c>
      <c r="B842" t="str">
        <f>_xlfn.BASE(
  (_xlfn.DECIMAL(C840,2)+_xlfn.DECIMAL(E840,2)+_xlfn.DECIMAL(G840,2)+_xlfn.DECIMAL(I840,2)+_xlfn.DECIMAL(K840,2))
  - (INT((_xlfn.DECIMAL(C840,2)+_xlfn.DECIMAL(E840,2)+_xlfn.DECIMAL(G840,2)+_xlfn.DECIMAL(I840,2)+_xlfn.DECIMAL(K840,2)) / 4294967296) * 4294967296),
  2,
  32
)</f>
        <v>10011011111100001111001001001110</v>
      </c>
    </row>
    <row r="843" spans="1:12" x14ac:dyDescent="0.25">
      <c r="A843" s="7" t="s">
        <v>369</v>
      </c>
      <c r="B843" t="str" cm="1">
        <f t="array" ref="B843">BitsToHex(B842)</f>
        <v>9BF0F24E</v>
      </c>
    </row>
    <row r="846" spans="1:12" x14ac:dyDescent="0.25">
      <c r="A846" s="7" t="s">
        <v>373</v>
      </c>
      <c r="B846" s="7"/>
      <c r="C846" s="29" t="s">
        <v>371</v>
      </c>
      <c r="D846" s="26" t="s">
        <v>183</v>
      </c>
      <c r="E846" s="8" t="s">
        <v>372</v>
      </c>
      <c r="J846" s="32"/>
    </row>
    <row r="847" spans="1:12" x14ac:dyDescent="0.25">
      <c r="A847" s="7"/>
    </row>
    <row r="848" spans="1:12" x14ac:dyDescent="0.25">
      <c r="A848" s="7"/>
      <c r="C848" s="27" t="str" cm="1">
        <f t="array" ref="C848">BSIG0_H(E835)</f>
        <v>00EAB9D4</v>
      </c>
      <c r="E848" t="str" cm="1">
        <f t="array" ref="E848">MAJ_H(E835,F835,G835)</f>
        <v>6250DBAA</v>
      </c>
    </row>
    <row r="849" spans="1:12" x14ac:dyDescent="0.25">
      <c r="A849" s="7" t="s">
        <v>370</v>
      </c>
      <c r="C849" s="27" t="str" cm="1">
        <f t="array" ref="C849">HexToBits(C848)</f>
        <v>00000000111010101011100111010100</v>
      </c>
      <c r="E849" t="str" cm="1">
        <f t="array" ref="E849">HexToBits(E848)</f>
        <v>01100010010100001101101110101010</v>
      </c>
    </row>
    <row r="850" spans="1:12" x14ac:dyDescent="0.25">
      <c r="A850" s="7"/>
    </row>
    <row r="851" spans="1:12" x14ac:dyDescent="0.25">
      <c r="A851" s="7" t="s">
        <v>373</v>
      </c>
      <c r="B851" t="str">
        <f>_xlfn.BASE(MOD(_xlfn.DECIMAL(C849,2) + _xlfn.DECIMAL(E849,2), 4294967296), 2, 32)</f>
        <v>01100011001110111001010101111110</v>
      </c>
    </row>
    <row r="852" spans="1:12" x14ac:dyDescent="0.25">
      <c r="A852" s="7" t="s">
        <v>369</v>
      </c>
      <c r="B852" t="str" cm="1">
        <f t="array" ref="B852">BitsToHex(B851)</f>
        <v>633B957E</v>
      </c>
    </row>
    <row r="853" spans="1:12" x14ac:dyDescent="0.25">
      <c r="A853" s="7"/>
    </row>
    <row r="854" spans="1:12" x14ac:dyDescent="0.25">
      <c r="A854" s="7" t="s">
        <v>374</v>
      </c>
      <c r="C854" s="28" t="s">
        <v>31</v>
      </c>
      <c r="D854" s="26" t="s">
        <v>183</v>
      </c>
      <c r="E854" s="7" t="s">
        <v>227</v>
      </c>
    </row>
    <row r="855" spans="1:12" x14ac:dyDescent="0.25">
      <c r="A855" s="7"/>
      <c r="C855" s="28"/>
      <c r="D855" s="26"/>
      <c r="E855" s="7"/>
      <c r="L855" s="16"/>
    </row>
    <row r="856" spans="1:12" x14ac:dyDescent="0.25">
      <c r="C856" s="27" t="str" cm="1">
        <f t="array" ref="C856">HexToBits(H835)</f>
        <v>11101011011010111111010111001000</v>
      </c>
      <c r="D856" s="26"/>
      <c r="E856" t="str">
        <f>B842</f>
        <v>10011011111100001111001001001110</v>
      </c>
    </row>
    <row r="857" spans="1:12" x14ac:dyDescent="0.25">
      <c r="A857" s="7" t="s">
        <v>374</v>
      </c>
      <c r="B857" t="str">
        <f>_xlfn.BASE(MOD(_xlfn.DECIMAL(C856,2) + _xlfn.DECIMAL(E856,2), 4294967296), 2, 32)</f>
        <v>10000111010111001110100000010110</v>
      </c>
      <c r="D857" s="16"/>
    </row>
    <row r="858" spans="1:12" x14ac:dyDescent="0.25">
      <c r="A858" s="7" t="s">
        <v>375</v>
      </c>
      <c r="B858" t="str" cm="1">
        <f t="array" ref="B858">BitsToHex(B857)</f>
        <v>875CE816</v>
      </c>
      <c r="C858" s="28"/>
      <c r="D858" s="26"/>
      <c r="E858" s="7"/>
    </row>
    <row r="859" spans="1:12" x14ac:dyDescent="0.25">
      <c r="A859" s="7"/>
      <c r="C859" s="28"/>
      <c r="D859" s="26"/>
      <c r="E859" s="7"/>
    </row>
    <row r="860" spans="1:12" x14ac:dyDescent="0.25">
      <c r="A860" s="7" t="s">
        <v>376</v>
      </c>
      <c r="C860" s="28" t="s">
        <v>377</v>
      </c>
      <c r="D860" s="26" t="s">
        <v>183</v>
      </c>
      <c r="E860" s="7" t="s">
        <v>378</v>
      </c>
    </row>
    <row r="861" spans="1:12" x14ac:dyDescent="0.25">
      <c r="A861" s="7"/>
      <c r="C861" s="27" t="str">
        <f>B842</f>
        <v>10011011111100001111001001001110</v>
      </c>
      <c r="D861" s="16"/>
      <c r="E861" t="str">
        <f>B851</f>
        <v>01100011001110111001010101111110</v>
      </c>
    </row>
    <row r="862" spans="1:12" x14ac:dyDescent="0.25">
      <c r="A862" s="7"/>
      <c r="C862" s="28"/>
      <c r="D862" s="26"/>
      <c r="E862" s="7"/>
    </row>
    <row r="863" spans="1:12" x14ac:dyDescent="0.25">
      <c r="A863" s="7" t="s">
        <v>376</v>
      </c>
      <c r="B863" t="str">
        <f>_xlfn.BASE(MOD(_xlfn.DECIMAL(C861,2) + _xlfn.DECIMAL(E861,2), 4294967296), 2, 32)</f>
        <v>11111111001011001000011111001100</v>
      </c>
      <c r="C863" s="28"/>
      <c r="D863" s="26"/>
      <c r="E863" s="7"/>
    </row>
    <row r="864" spans="1:12" x14ac:dyDescent="0.25">
      <c r="A864" s="7" t="s">
        <v>375</v>
      </c>
      <c r="B864" t="str" cm="1">
        <f t="array" ref="B864">BitsToHex(B863)</f>
        <v>FF2C87CC</v>
      </c>
    </row>
    <row r="866" spans="1:13" x14ac:dyDescent="0.25">
      <c r="C866" s="27" t="s">
        <v>225</v>
      </c>
      <c r="E866" s="24" t="s">
        <v>8</v>
      </c>
      <c r="F866" s="24" t="s">
        <v>29</v>
      </c>
      <c r="G866" s="24" t="s">
        <v>30</v>
      </c>
      <c r="H866" s="24" t="s">
        <v>31</v>
      </c>
      <c r="I866" s="24" t="s">
        <v>221</v>
      </c>
      <c r="J866" s="24" t="s">
        <v>222</v>
      </c>
      <c r="K866" s="24" t="s">
        <v>34</v>
      </c>
      <c r="L866" s="24" t="s">
        <v>223</v>
      </c>
    </row>
    <row r="867" spans="1:13" x14ac:dyDescent="0.25">
      <c r="E867" s="24" t="str">
        <f>B864</f>
        <v>FF2C87CC</v>
      </c>
      <c r="F867" s="24" t="str">
        <f>E835</f>
        <v>62D0DB66</v>
      </c>
      <c r="G867" s="24" t="str">
        <f>F835</f>
        <v>E74191A8</v>
      </c>
      <c r="H867" s="24" t="str">
        <f>G835</f>
        <v>7A544E8A</v>
      </c>
      <c r="I867" s="24" t="str">
        <f>B858</f>
        <v>875CE816</v>
      </c>
      <c r="J867" s="25" t="str">
        <f>I835</f>
        <v>C89719E3</v>
      </c>
      <c r="K867" s="24" t="str">
        <f>J835</f>
        <v>18C469F1</v>
      </c>
      <c r="L867" s="24" t="str">
        <f>K835</f>
        <v>380F13B8</v>
      </c>
    </row>
    <row r="868" spans="1:13" x14ac:dyDescent="0.25">
      <c r="A868" s="2"/>
      <c r="B868" s="2"/>
      <c r="C868" s="30" t="s">
        <v>379</v>
      </c>
      <c r="D868" s="2">
        <v>24</v>
      </c>
      <c r="E868" s="2"/>
      <c r="F868" s="2"/>
      <c r="G868" s="2"/>
      <c r="H868" s="2"/>
      <c r="I868" s="2"/>
      <c r="J868" s="2"/>
      <c r="K868" s="2"/>
      <c r="L868" s="2"/>
      <c r="M868" s="2"/>
    </row>
    <row r="869" spans="1:13" x14ac:dyDescent="0.25">
      <c r="D869" t="s">
        <v>380</v>
      </c>
      <c r="E869">
        <f>D868+1</f>
        <v>25</v>
      </c>
    </row>
    <row r="870" spans="1:13" x14ac:dyDescent="0.25">
      <c r="C870" s="27" t="s">
        <v>224</v>
      </c>
      <c r="E870" s="24" t="s">
        <v>8</v>
      </c>
      <c r="F870" s="24" t="s">
        <v>29</v>
      </c>
      <c r="G870" s="24" t="s">
        <v>30</v>
      </c>
      <c r="H870" s="24" t="s">
        <v>31</v>
      </c>
      <c r="I870" s="24" t="s">
        <v>221</v>
      </c>
      <c r="J870" s="24" t="s">
        <v>222</v>
      </c>
      <c r="K870" s="24" t="s">
        <v>34</v>
      </c>
      <c r="L870" s="24" t="s">
        <v>223</v>
      </c>
    </row>
    <row r="871" spans="1:13" x14ac:dyDescent="0.25">
      <c r="E871" s="24" t="str">
        <f t="shared" ref="E871:L871" si="24">E867</f>
        <v>FF2C87CC</v>
      </c>
      <c r="F871" s="24" t="str">
        <f t="shared" si="24"/>
        <v>62D0DB66</v>
      </c>
      <c r="G871" s="24" t="str">
        <f t="shared" si="24"/>
        <v>E74191A8</v>
      </c>
      <c r="H871" s="24" t="str">
        <f t="shared" si="24"/>
        <v>7A544E8A</v>
      </c>
      <c r="I871" s="25" t="str">
        <f t="shared" si="24"/>
        <v>875CE816</v>
      </c>
      <c r="J871" s="24" t="str">
        <f t="shared" si="24"/>
        <v>C89719E3</v>
      </c>
      <c r="K871" s="24" t="str">
        <f t="shared" si="24"/>
        <v>18C469F1</v>
      </c>
      <c r="L871" s="24" t="str">
        <f t="shared" si="24"/>
        <v>380F13B8</v>
      </c>
    </row>
    <row r="873" spans="1:13" x14ac:dyDescent="0.25">
      <c r="A873" s="7" t="s">
        <v>363</v>
      </c>
      <c r="B873" s="7"/>
      <c r="C873" s="28" t="s">
        <v>223</v>
      </c>
      <c r="D873" s="26" t="s">
        <v>183</v>
      </c>
      <c r="E873" s="8" t="s">
        <v>365</v>
      </c>
      <c r="F873" s="26" t="s">
        <v>183</v>
      </c>
      <c r="G873" s="8" t="s">
        <v>366</v>
      </c>
      <c r="H873" s="26" t="s">
        <v>183</v>
      </c>
      <c r="I873" s="8" t="s">
        <v>367</v>
      </c>
      <c r="J873" s="26" t="s">
        <v>183</v>
      </c>
      <c r="K873" s="8" t="s">
        <v>368</v>
      </c>
    </row>
    <row r="874" spans="1:13" x14ac:dyDescent="0.25">
      <c r="A874" s="7"/>
    </row>
    <row r="875" spans="1:13" x14ac:dyDescent="0.25">
      <c r="A875" s="7"/>
      <c r="C875" s="27" t="str">
        <f>L871</f>
        <v>380F13B8</v>
      </c>
      <c r="E875" t="str" cm="1">
        <f t="array" ref="E875">BSIG1_H(I871)</f>
        <v>F6B9937E</v>
      </c>
      <c r="G875" t="str" cm="1">
        <f t="array" ref="G875">CH_H(I871,J871,K871)</f>
        <v>989409E3</v>
      </c>
      <c r="I875" t="str" cm="1">
        <f t="array" ref="I875">INDEX(Folha3!$C$15:$J$22,IF(MOD(E869,8)=0,0,1)+INT(E869/8),1+MOD(E869-1,8))</f>
        <v>983e5152</v>
      </c>
      <c r="K875" t="str" cm="1">
        <f t="array" ref="K875">INDEX(Folha3!$C$38:$BN$38,1,E869)</f>
        <v>3F568947</v>
      </c>
    </row>
    <row r="876" spans="1:13" x14ac:dyDescent="0.25">
      <c r="A876" s="7" t="s">
        <v>370</v>
      </c>
      <c r="C876" s="27" t="str" cm="1">
        <f t="array" ref="C876">HexToBits(C875)</f>
        <v>00111000000011110001001110111000</v>
      </c>
      <c r="E876" t="str" cm="1">
        <f t="array" ref="E876">HexToBits(E875)</f>
        <v>11110110101110011001001101111110</v>
      </c>
      <c r="G876" t="str" cm="1">
        <f t="array" ref="G876">HexToBits(G875)</f>
        <v>10011000100101000000100111100011</v>
      </c>
      <c r="I876" t="str" cm="1">
        <f t="array" ref="I876">HexToBits(I875)</f>
        <v>10011000001111100101000101010010</v>
      </c>
      <c r="K876" t="str" cm="1">
        <f t="array" ref="K876">HexToBits(K875)</f>
        <v>00111111010101101000100101000111</v>
      </c>
    </row>
    <row r="877" spans="1:13" x14ac:dyDescent="0.25">
      <c r="A877" s="7"/>
    </row>
    <row r="878" spans="1:13" x14ac:dyDescent="0.25">
      <c r="A878" s="7" t="s">
        <v>364</v>
      </c>
      <c r="B878" t="str">
        <f>_xlfn.BASE(
  (_xlfn.DECIMAL(C876,2)+_xlfn.DECIMAL(E876,2)+_xlfn.DECIMAL(G876,2)+_xlfn.DECIMAL(I876,2)+_xlfn.DECIMAL(K876,2))
  - (INT((_xlfn.DECIMAL(C876,2)+_xlfn.DECIMAL(E876,2)+_xlfn.DECIMAL(G876,2)+_xlfn.DECIMAL(I876,2)+_xlfn.DECIMAL(K876,2)) / 4294967296) * 4294967296),
  2,
  32
)</f>
        <v>10011110111100011000101110110010</v>
      </c>
    </row>
    <row r="879" spans="1:13" x14ac:dyDescent="0.25">
      <c r="A879" s="7" t="s">
        <v>369</v>
      </c>
      <c r="B879" t="str" cm="1">
        <f t="array" ref="B879">BitsToHex(B878)</f>
        <v>9EF18BB2</v>
      </c>
    </row>
    <row r="882" spans="1:12" x14ac:dyDescent="0.25">
      <c r="A882" s="7" t="s">
        <v>373</v>
      </c>
      <c r="B882" s="7"/>
      <c r="C882" s="29" t="s">
        <v>371</v>
      </c>
      <c r="D882" s="26" t="s">
        <v>183</v>
      </c>
      <c r="E882" s="8" t="s">
        <v>372</v>
      </c>
      <c r="J882" s="32"/>
    </row>
    <row r="883" spans="1:12" x14ac:dyDescent="0.25">
      <c r="A883" s="7"/>
    </row>
    <row r="884" spans="1:12" x14ac:dyDescent="0.25">
      <c r="A884" s="7"/>
      <c r="C884" s="27" t="str" cm="1">
        <f t="array" ref="C884">BSIG0_H(E871)</f>
        <v>B3B3EB6B</v>
      </c>
      <c r="E884" t="str" cm="1">
        <f t="array" ref="E884">MAJ_H(E871,F871,G871)</f>
        <v>E74093EC</v>
      </c>
    </row>
    <row r="885" spans="1:12" x14ac:dyDescent="0.25">
      <c r="A885" s="7" t="s">
        <v>370</v>
      </c>
      <c r="C885" s="27" t="str" cm="1">
        <f t="array" ref="C885">HexToBits(C884)</f>
        <v>10110011101100111110101101101011</v>
      </c>
      <c r="E885" t="str" cm="1">
        <f t="array" ref="E885">HexToBits(E884)</f>
        <v>11100111010000001001001111101100</v>
      </c>
    </row>
    <row r="886" spans="1:12" x14ac:dyDescent="0.25">
      <c r="A886" s="7"/>
    </row>
    <row r="887" spans="1:12" x14ac:dyDescent="0.25">
      <c r="A887" s="7" t="s">
        <v>373</v>
      </c>
      <c r="B887" t="str">
        <f>_xlfn.BASE(MOD(_xlfn.DECIMAL(C885,2) + _xlfn.DECIMAL(E885,2), 4294967296), 2, 32)</f>
        <v>10011010111101000111111101010111</v>
      </c>
    </row>
    <row r="888" spans="1:12" x14ac:dyDescent="0.25">
      <c r="A888" s="7" t="s">
        <v>369</v>
      </c>
      <c r="B888" t="str" cm="1">
        <f t="array" ref="B888">BitsToHex(B887)</f>
        <v>9AF47F57</v>
      </c>
    </row>
    <row r="889" spans="1:12" x14ac:dyDescent="0.25">
      <c r="A889" s="7"/>
    </row>
    <row r="890" spans="1:12" x14ac:dyDescent="0.25">
      <c r="A890" s="7" t="s">
        <v>374</v>
      </c>
      <c r="C890" s="28" t="s">
        <v>31</v>
      </c>
      <c r="D890" s="26" t="s">
        <v>183</v>
      </c>
      <c r="E890" s="7" t="s">
        <v>227</v>
      </c>
    </row>
    <row r="891" spans="1:12" x14ac:dyDescent="0.25">
      <c r="A891" s="7"/>
      <c r="C891" s="28"/>
      <c r="D891" s="26"/>
      <c r="E891" s="7"/>
      <c r="L891" s="16"/>
    </row>
    <row r="892" spans="1:12" x14ac:dyDescent="0.25">
      <c r="C892" s="27" t="str" cm="1">
        <f t="array" ref="C892">HexToBits(H871)</f>
        <v>01111010010101000100111010001010</v>
      </c>
      <c r="D892" s="26"/>
      <c r="E892" t="str">
        <f>B878</f>
        <v>10011110111100011000101110110010</v>
      </c>
    </row>
    <row r="893" spans="1:12" x14ac:dyDescent="0.25">
      <c r="A893" s="7" t="s">
        <v>374</v>
      </c>
      <c r="B893" t="str">
        <f>_xlfn.BASE(MOD(_xlfn.DECIMAL(C892,2) + _xlfn.DECIMAL(E892,2), 4294967296), 2, 32)</f>
        <v>00011001010001011101101000111100</v>
      </c>
      <c r="D893" s="16"/>
    </row>
    <row r="894" spans="1:12" x14ac:dyDescent="0.25">
      <c r="A894" s="7" t="s">
        <v>375</v>
      </c>
      <c r="B894" t="str" cm="1">
        <f t="array" ref="B894">BitsToHex(B893)</f>
        <v>1945DA3C</v>
      </c>
      <c r="C894" s="28"/>
      <c r="D894" s="26"/>
      <c r="E894" s="7"/>
    </row>
    <row r="895" spans="1:12" x14ac:dyDescent="0.25">
      <c r="A895" s="7"/>
      <c r="C895" s="28"/>
      <c r="D895" s="26"/>
      <c r="E895" s="7"/>
    </row>
    <row r="896" spans="1:12" x14ac:dyDescent="0.25">
      <c r="A896" s="7" t="s">
        <v>376</v>
      </c>
      <c r="C896" s="28" t="s">
        <v>377</v>
      </c>
      <c r="D896" s="26" t="s">
        <v>183</v>
      </c>
      <c r="E896" s="7" t="s">
        <v>378</v>
      </c>
    </row>
    <row r="897" spans="1:13" x14ac:dyDescent="0.25">
      <c r="A897" s="7"/>
      <c r="C897" s="27" t="str">
        <f>B878</f>
        <v>10011110111100011000101110110010</v>
      </c>
      <c r="D897" s="16"/>
      <c r="E897" t="str">
        <f>B887</f>
        <v>10011010111101000111111101010111</v>
      </c>
    </row>
    <row r="898" spans="1:13" x14ac:dyDescent="0.25">
      <c r="A898" s="7"/>
      <c r="C898" s="28"/>
      <c r="D898" s="26"/>
      <c r="E898" s="7"/>
    </row>
    <row r="899" spans="1:13" x14ac:dyDescent="0.25">
      <c r="A899" s="7" t="s">
        <v>376</v>
      </c>
      <c r="B899" t="str">
        <f>_xlfn.BASE(MOD(_xlfn.DECIMAL(C897,2) + _xlfn.DECIMAL(E897,2), 4294967296), 2, 32)</f>
        <v>00111001111001100000101100001001</v>
      </c>
      <c r="C899" s="28"/>
      <c r="D899" s="26"/>
      <c r="E899" s="7"/>
    </row>
    <row r="900" spans="1:13" x14ac:dyDescent="0.25">
      <c r="A900" s="7" t="s">
        <v>375</v>
      </c>
      <c r="B900" t="str" cm="1">
        <f t="array" ref="B900">BitsToHex(B899)</f>
        <v>39E60B09</v>
      </c>
    </row>
    <row r="902" spans="1:13" x14ac:dyDescent="0.25">
      <c r="C902" s="27" t="s">
        <v>225</v>
      </c>
      <c r="E902" s="24" t="s">
        <v>8</v>
      </c>
      <c r="F902" s="24" t="s">
        <v>29</v>
      </c>
      <c r="G902" s="24" t="s">
        <v>30</v>
      </c>
      <c r="H902" s="24" t="s">
        <v>31</v>
      </c>
      <c r="I902" s="24" t="s">
        <v>221</v>
      </c>
      <c r="J902" s="24" t="s">
        <v>222</v>
      </c>
      <c r="K902" s="24" t="s">
        <v>34</v>
      </c>
      <c r="L902" s="24" t="s">
        <v>223</v>
      </c>
    </row>
    <row r="903" spans="1:13" x14ac:dyDescent="0.25">
      <c r="E903" s="24" t="str">
        <f>B900</f>
        <v>39E60B09</v>
      </c>
      <c r="F903" s="24" t="str">
        <f>E871</f>
        <v>FF2C87CC</v>
      </c>
      <c r="G903" s="24" t="str">
        <f>F871</f>
        <v>62D0DB66</v>
      </c>
      <c r="H903" s="24" t="str">
        <f>G871</f>
        <v>E74191A8</v>
      </c>
      <c r="I903" s="24" t="str">
        <f>B894</f>
        <v>1945DA3C</v>
      </c>
      <c r="J903" s="25" t="str">
        <f>I871</f>
        <v>875CE816</v>
      </c>
      <c r="K903" s="24" t="str">
        <f>J871</f>
        <v>C89719E3</v>
      </c>
      <c r="L903" s="24" t="str">
        <f>K871</f>
        <v>18C469F1</v>
      </c>
    </row>
    <row r="904" spans="1:13" x14ac:dyDescent="0.25">
      <c r="A904" s="2"/>
      <c r="B904" s="2"/>
      <c r="C904" s="30" t="s">
        <v>379</v>
      </c>
      <c r="D904" s="2">
        <v>25</v>
      </c>
      <c r="E904" s="2"/>
      <c r="F904" s="2"/>
      <c r="G904" s="2"/>
      <c r="H904" s="2"/>
      <c r="I904" s="2"/>
      <c r="J904" s="2"/>
      <c r="K904" s="2"/>
      <c r="L904" s="2"/>
      <c r="M904" s="2"/>
    </row>
    <row r="905" spans="1:13" x14ac:dyDescent="0.25">
      <c r="D905" t="s">
        <v>380</v>
      </c>
      <c r="E905">
        <f>D904+1</f>
        <v>26</v>
      </c>
    </row>
    <row r="906" spans="1:13" x14ac:dyDescent="0.25">
      <c r="C906" s="27" t="s">
        <v>224</v>
      </c>
      <c r="E906" s="24" t="s">
        <v>8</v>
      </c>
      <c r="F906" s="24" t="s">
        <v>29</v>
      </c>
      <c r="G906" s="24" t="s">
        <v>30</v>
      </c>
      <c r="H906" s="24" t="s">
        <v>31</v>
      </c>
      <c r="I906" s="24" t="s">
        <v>221</v>
      </c>
      <c r="J906" s="24" t="s">
        <v>222</v>
      </c>
      <c r="K906" s="24" t="s">
        <v>34</v>
      </c>
      <c r="L906" s="24" t="s">
        <v>223</v>
      </c>
    </row>
    <row r="907" spans="1:13" x14ac:dyDescent="0.25">
      <c r="E907" s="24" t="str">
        <f t="shared" ref="E907:L907" si="25">E903</f>
        <v>39E60B09</v>
      </c>
      <c r="F907" s="24" t="str">
        <f t="shared" si="25"/>
        <v>FF2C87CC</v>
      </c>
      <c r="G907" s="24" t="str">
        <f t="shared" si="25"/>
        <v>62D0DB66</v>
      </c>
      <c r="H907" s="24" t="str">
        <f t="shared" si="25"/>
        <v>E74191A8</v>
      </c>
      <c r="I907" s="25" t="str">
        <f t="shared" si="25"/>
        <v>1945DA3C</v>
      </c>
      <c r="J907" s="24" t="str">
        <f t="shared" si="25"/>
        <v>875CE816</v>
      </c>
      <c r="K907" s="24" t="str">
        <f t="shared" si="25"/>
        <v>C89719E3</v>
      </c>
      <c r="L907" s="24" t="str">
        <f t="shared" si="25"/>
        <v>18C469F1</v>
      </c>
    </row>
    <row r="909" spans="1:13" x14ac:dyDescent="0.25">
      <c r="A909" s="7" t="s">
        <v>363</v>
      </c>
      <c r="B909" s="7"/>
      <c r="C909" s="28" t="s">
        <v>223</v>
      </c>
      <c r="D909" s="26" t="s">
        <v>183</v>
      </c>
      <c r="E909" s="8" t="s">
        <v>365</v>
      </c>
      <c r="F909" s="26" t="s">
        <v>183</v>
      </c>
      <c r="G909" s="8" t="s">
        <v>366</v>
      </c>
      <c r="H909" s="26" t="s">
        <v>183</v>
      </c>
      <c r="I909" s="8" t="s">
        <v>367</v>
      </c>
      <c r="J909" s="26" t="s">
        <v>183</v>
      </c>
      <c r="K909" s="8" t="s">
        <v>368</v>
      </c>
    </row>
    <row r="910" spans="1:13" x14ac:dyDescent="0.25">
      <c r="A910" s="7"/>
    </row>
    <row r="911" spans="1:13" x14ac:dyDescent="0.25">
      <c r="A911" s="7"/>
      <c r="C911" s="27" t="str">
        <f>L907</f>
        <v>18C469F1</v>
      </c>
      <c r="E911" t="str" cm="1">
        <f t="array" ref="E911">BSIG1_H(I907)</f>
        <v>150B21DF</v>
      </c>
      <c r="G911" t="str" cm="1">
        <f t="array" ref="G911">CH_H(I907,J907,K907)</f>
        <v>C1D6C9D7</v>
      </c>
      <c r="I911" t="str" cm="1">
        <f t="array" ref="I911">INDEX(Folha3!$C$15:$J$22,IF(MOD(E905,8)=0,0,1)+INT(E905/8),1+MOD(E905-1,8))</f>
        <v>a831c66d</v>
      </c>
      <c r="K911" t="str" cm="1">
        <f t="array" ref="K911">INDEX(Folha3!$C$38:$BN$38,1,E905)</f>
        <v>F9AFC337</v>
      </c>
    </row>
    <row r="912" spans="1:13" x14ac:dyDescent="0.25">
      <c r="A912" s="7" t="s">
        <v>370</v>
      </c>
      <c r="C912" s="27" t="str" cm="1">
        <f t="array" ref="C912">HexToBits(C911)</f>
        <v>00011000110001000110100111110001</v>
      </c>
      <c r="E912" t="str" cm="1">
        <f t="array" ref="E912">HexToBits(E911)</f>
        <v>00010101000010110010000111011111</v>
      </c>
      <c r="G912" t="str" cm="1">
        <f t="array" ref="G912">HexToBits(G911)</f>
        <v>11000001110101101100100111010111</v>
      </c>
      <c r="I912" t="str" cm="1">
        <f t="array" ref="I912">HexToBits(I911)</f>
        <v>10101000001100011100011001101101</v>
      </c>
      <c r="K912" t="str" cm="1">
        <f t="array" ref="K912">HexToBits(K911)</f>
        <v>11111001101011111100001100110111</v>
      </c>
    </row>
    <row r="913" spans="1:12" x14ac:dyDescent="0.25">
      <c r="A913" s="7"/>
    </row>
    <row r="914" spans="1:12" x14ac:dyDescent="0.25">
      <c r="A914" s="7" t="s">
        <v>364</v>
      </c>
      <c r="B914" t="str">
        <f>_xlfn.BASE(
  (_xlfn.DECIMAL(C912,2)+_xlfn.DECIMAL(E912,2)+_xlfn.DECIMAL(G912,2)+_xlfn.DECIMAL(I912,2)+_xlfn.DECIMAL(K912,2))
  - (INT((_xlfn.DECIMAL(C912,2)+_xlfn.DECIMAL(E912,2)+_xlfn.DECIMAL(G912,2)+_xlfn.DECIMAL(I912,2)+_xlfn.DECIMAL(K912,2)) / 4294967296) * 4294967296),
  2,
  32
)</f>
        <v>10010001100001111101111101001011</v>
      </c>
    </row>
    <row r="915" spans="1:12" x14ac:dyDescent="0.25">
      <c r="A915" s="7" t="s">
        <v>369</v>
      </c>
      <c r="B915" t="str" cm="1">
        <f t="array" ref="B915">BitsToHex(B914)</f>
        <v>9187DF4B</v>
      </c>
    </row>
    <row r="918" spans="1:12" x14ac:dyDescent="0.25">
      <c r="A918" s="7" t="s">
        <v>373</v>
      </c>
      <c r="B918" s="7"/>
      <c r="C918" s="29" t="s">
        <v>371</v>
      </c>
      <c r="D918" s="26" t="s">
        <v>183</v>
      </c>
      <c r="E918" s="8" t="s">
        <v>372</v>
      </c>
      <c r="J918" s="32"/>
    </row>
    <row r="919" spans="1:12" x14ac:dyDescent="0.25">
      <c r="A919" s="7"/>
    </row>
    <row r="920" spans="1:12" x14ac:dyDescent="0.25">
      <c r="A920" s="7"/>
      <c r="C920" s="27" t="str" cm="1">
        <f t="array" ref="C920">BSIG0_H(E907)</f>
        <v>8E1C6915</v>
      </c>
      <c r="E920" t="str" cm="1">
        <f t="array" ref="E920">MAJ_H(E907,F907,G907)</f>
        <v>7BE48B4C</v>
      </c>
    </row>
    <row r="921" spans="1:12" x14ac:dyDescent="0.25">
      <c r="A921" s="7" t="s">
        <v>370</v>
      </c>
      <c r="C921" s="27" t="str" cm="1">
        <f t="array" ref="C921">HexToBits(C920)</f>
        <v>10001110000111000110100100010101</v>
      </c>
      <c r="E921" t="str" cm="1">
        <f t="array" ref="E921">HexToBits(E920)</f>
        <v>01111011111001001000101101001100</v>
      </c>
    </row>
    <row r="922" spans="1:12" x14ac:dyDescent="0.25">
      <c r="A922" s="7"/>
    </row>
    <row r="923" spans="1:12" x14ac:dyDescent="0.25">
      <c r="A923" s="7" t="s">
        <v>373</v>
      </c>
      <c r="B923" t="str">
        <f>_xlfn.BASE(MOD(_xlfn.DECIMAL(C921,2) + _xlfn.DECIMAL(E921,2), 4294967296), 2, 32)</f>
        <v>00001010000000001111010001100001</v>
      </c>
    </row>
    <row r="924" spans="1:12" x14ac:dyDescent="0.25">
      <c r="A924" s="7" t="s">
        <v>369</v>
      </c>
      <c r="B924" t="str" cm="1">
        <f t="array" ref="B924">BitsToHex(B923)</f>
        <v>0A00F461</v>
      </c>
    </row>
    <row r="925" spans="1:12" x14ac:dyDescent="0.25">
      <c r="A925" s="7"/>
    </row>
    <row r="926" spans="1:12" x14ac:dyDescent="0.25">
      <c r="A926" s="7" t="s">
        <v>374</v>
      </c>
      <c r="C926" s="28" t="s">
        <v>31</v>
      </c>
      <c r="D926" s="26" t="s">
        <v>183</v>
      </c>
      <c r="E926" s="7" t="s">
        <v>227</v>
      </c>
    </row>
    <row r="927" spans="1:12" x14ac:dyDescent="0.25">
      <c r="A927" s="7"/>
      <c r="C927" s="28"/>
      <c r="D927" s="26"/>
      <c r="E927" s="7"/>
      <c r="L927" s="16"/>
    </row>
    <row r="928" spans="1:12" x14ac:dyDescent="0.25">
      <c r="C928" s="27" t="str" cm="1">
        <f t="array" ref="C928">HexToBits(H907)</f>
        <v>11100111010000011001000110101000</v>
      </c>
      <c r="D928" s="26"/>
      <c r="E928" t="str">
        <f>B914</f>
        <v>10010001100001111101111101001011</v>
      </c>
    </row>
    <row r="929" spans="1:13" x14ac:dyDescent="0.25">
      <c r="A929" s="7" t="s">
        <v>374</v>
      </c>
      <c r="B929" t="str">
        <f>_xlfn.BASE(MOD(_xlfn.DECIMAL(C928,2) + _xlfn.DECIMAL(E928,2), 4294967296), 2, 32)</f>
        <v>01111000110010010111000011110011</v>
      </c>
      <c r="D929" s="16"/>
    </row>
    <row r="930" spans="1:13" x14ac:dyDescent="0.25">
      <c r="A930" s="7" t="s">
        <v>375</v>
      </c>
      <c r="B930" t="str" cm="1">
        <f t="array" ref="B930">BitsToHex(B929)</f>
        <v>78C970F3</v>
      </c>
      <c r="C930" s="28"/>
      <c r="D930" s="26"/>
      <c r="E930" s="7"/>
    </row>
    <row r="931" spans="1:13" x14ac:dyDescent="0.25">
      <c r="A931" s="7"/>
      <c r="C931" s="28"/>
      <c r="D931" s="26"/>
      <c r="E931" s="7"/>
    </row>
    <row r="932" spans="1:13" x14ac:dyDescent="0.25">
      <c r="A932" s="7" t="s">
        <v>376</v>
      </c>
      <c r="C932" s="28" t="s">
        <v>377</v>
      </c>
      <c r="D932" s="26" t="s">
        <v>183</v>
      </c>
      <c r="E932" s="7" t="s">
        <v>378</v>
      </c>
    </row>
    <row r="933" spans="1:13" x14ac:dyDescent="0.25">
      <c r="A933" s="7"/>
      <c r="C933" s="27" t="str">
        <f>B914</f>
        <v>10010001100001111101111101001011</v>
      </c>
      <c r="D933" s="16"/>
      <c r="E933" t="str">
        <f>B923</f>
        <v>00001010000000001111010001100001</v>
      </c>
    </row>
    <row r="934" spans="1:13" x14ac:dyDescent="0.25">
      <c r="A934" s="7"/>
      <c r="C934" s="28"/>
      <c r="D934" s="26"/>
      <c r="E934" s="7"/>
    </row>
    <row r="935" spans="1:13" x14ac:dyDescent="0.25">
      <c r="A935" s="7" t="s">
        <v>376</v>
      </c>
      <c r="B935" t="str">
        <f>_xlfn.BASE(MOD(_xlfn.DECIMAL(C933,2) + _xlfn.DECIMAL(E933,2), 4294967296), 2, 32)</f>
        <v>10011011100010001101001110101100</v>
      </c>
      <c r="C935" s="28"/>
      <c r="D935" s="26"/>
      <c r="E935" s="7"/>
    </row>
    <row r="936" spans="1:13" x14ac:dyDescent="0.25">
      <c r="A936" s="7" t="s">
        <v>375</v>
      </c>
      <c r="B936" t="str" cm="1">
        <f t="array" ref="B936">BitsToHex(B935)</f>
        <v>9B88D3AC</v>
      </c>
    </row>
    <row r="938" spans="1:13" x14ac:dyDescent="0.25">
      <c r="C938" s="27" t="s">
        <v>225</v>
      </c>
      <c r="E938" s="24" t="s">
        <v>8</v>
      </c>
      <c r="F938" s="24" t="s">
        <v>29</v>
      </c>
      <c r="G938" s="24" t="s">
        <v>30</v>
      </c>
      <c r="H938" s="24" t="s">
        <v>31</v>
      </c>
      <c r="I938" s="24" t="s">
        <v>221</v>
      </c>
      <c r="J938" s="24" t="s">
        <v>222</v>
      </c>
      <c r="K938" s="24" t="s">
        <v>34</v>
      </c>
      <c r="L938" s="24" t="s">
        <v>223</v>
      </c>
    </row>
    <row r="939" spans="1:13" x14ac:dyDescent="0.25">
      <c r="E939" s="24" t="str">
        <f>B936</f>
        <v>9B88D3AC</v>
      </c>
      <c r="F939" s="24" t="str">
        <f>E907</f>
        <v>39E60B09</v>
      </c>
      <c r="G939" s="24" t="str">
        <f>F907</f>
        <v>FF2C87CC</v>
      </c>
      <c r="H939" s="24" t="str">
        <f>G907</f>
        <v>62D0DB66</v>
      </c>
      <c r="I939" s="24" t="str">
        <f>B930</f>
        <v>78C970F3</v>
      </c>
      <c r="J939" s="25" t="str">
        <f>I907</f>
        <v>1945DA3C</v>
      </c>
      <c r="K939" s="24" t="str">
        <f>J907</f>
        <v>875CE816</v>
      </c>
      <c r="L939" s="24" t="str">
        <f>K907</f>
        <v>C89719E3</v>
      </c>
    </row>
    <row r="940" spans="1:13" x14ac:dyDescent="0.25">
      <c r="A940" s="2"/>
      <c r="B940" s="2"/>
      <c r="C940" s="30" t="s">
        <v>379</v>
      </c>
      <c r="D940" s="2">
        <v>26</v>
      </c>
      <c r="E940" s="2"/>
      <c r="F940" s="2"/>
      <c r="G940" s="2"/>
      <c r="H940" s="2"/>
      <c r="I940" s="2"/>
      <c r="J940" s="2"/>
      <c r="K940" s="2"/>
      <c r="L940" s="2"/>
      <c r="M940" s="2"/>
    </row>
    <row r="941" spans="1:13" x14ac:dyDescent="0.25">
      <c r="D941" t="s">
        <v>380</v>
      </c>
      <c r="E941">
        <f>D940+1</f>
        <v>27</v>
      </c>
    </row>
    <row r="942" spans="1:13" x14ac:dyDescent="0.25">
      <c r="C942" s="27" t="s">
        <v>224</v>
      </c>
      <c r="E942" s="24" t="s">
        <v>8</v>
      </c>
      <c r="F942" s="24" t="s">
        <v>29</v>
      </c>
      <c r="G942" s="24" t="s">
        <v>30</v>
      </c>
      <c r="H942" s="24" t="s">
        <v>31</v>
      </c>
      <c r="I942" s="24" t="s">
        <v>221</v>
      </c>
      <c r="J942" s="24" t="s">
        <v>222</v>
      </c>
      <c r="K942" s="24" t="s">
        <v>34</v>
      </c>
      <c r="L942" s="24" t="s">
        <v>223</v>
      </c>
    </row>
    <row r="943" spans="1:13" x14ac:dyDescent="0.25">
      <c r="E943" s="24" t="str">
        <f t="shared" ref="E943:L943" si="26">E939</f>
        <v>9B88D3AC</v>
      </c>
      <c r="F943" s="24" t="str">
        <f t="shared" si="26"/>
        <v>39E60B09</v>
      </c>
      <c r="G943" s="24" t="str">
        <f t="shared" si="26"/>
        <v>FF2C87CC</v>
      </c>
      <c r="H943" s="24" t="str">
        <f t="shared" si="26"/>
        <v>62D0DB66</v>
      </c>
      <c r="I943" s="25" t="str">
        <f t="shared" si="26"/>
        <v>78C970F3</v>
      </c>
      <c r="J943" s="24" t="str">
        <f t="shared" si="26"/>
        <v>1945DA3C</v>
      </c>
      <c r="K943" s="24" t="str">
        <f t="shared" si="26"/>
        <v>875CE816</v>
      </c>
      <c r="L943" s="24" t="str">
        <f t="shared" si="26"/>
        <v>C89719E3</v>
      </c>
    </row>
    <row r="945" spans="1:11" x14ac:dyDescent="0.25">
      <c r="A945" s="7" t="s">
        <v>363</v>
      </c>
      <c r="B945" s="7"/>
      <c r="C945" s="28" t="s">
        <v>223</v>
      </c>
      <c r="D945" s="26" t="s">
        <v>183</v>
      </c>
      <c r="E945" s="8" t="s">
        <v>365</v>
      </c>
      <c r="F945" s="26" t="s">
        <v>183</v>
      </c>
      <c r="G945" s="8" t="s">
        <v>366</v>
      </c>
      <c r="H945" s="26" t="s">
        <v>183</v>
      </c>
      <c r="I945" s="8" t="s">
        <v>367</v>
      </c>
      <c r="J945" s="26" t="s">
        <v>183</v>
      </c>
      <c r="K945" s="8" t="s">
        <v>368</v>
      </c>
    </row>
    <row r="946" spans="1:11" x14ac:dyDescent="0.25">
      <c r="A946" s="7"/>
    </row>
    <row r="947" spans="1:11" x14ac:dyDescent="0.25">
      <c r="A947" s="7"/>
      <c r="C947" s="27" t="str">
        <f>L943</f>
        <v>C89719E3</v>
      </c>
      <c r="E947" t="str" cm="1">
        <f t="array" ref="E947">BSIG1_H(I943)</f>
        <v>B7344551</v>
      </c>
      <c r="G947" t="str" cm="1">
        <f t="array" ref="G947">CH_H(I943,J943,K943)</f>
        <v>9F55D834</v>
      </c>
      <c r="I947" t="str" cm="1">
        <f t="array" ref="I947">INDEX(Folha3!$C$15:$J$22,IF(MOD(E941,8)=0,0,1)+INT(E941/8),1+MOD(E941-1,8))</f>
        <v>b00327c8</v>
      </c>
      <c r="K947" t="str" cm="1">
        <f t="array" ref="K947">INDEX(Folha3!$C$38:$BN$38,1,E941)</f>
        <v>359E081D</v>
      </c>
    </row>
    <row r="948" spans="1:11" x14ac:dyDescent="0.25">
      <c r="A948" s="7" t="s">
        <v>370</v>
      </c>
      <c r="C948" s="27" t="str" cm="1">
        <f t="array" ref="C948">HexToBits(C947)</f>
        <v>11001000100101110001100111100011</v>
      </c>
      <c r="E948" t="str" cm="1">
        <f t="array" ref="E948">HexToBits(E947)</f>
        <v>10110111001101000100010101010001</v>
      </c>
      <c r="G948" t="str" cm="1">
        <f t="array" ref="G948">HexToBits(G947)</f>
        <v>10011111010101011101100000110100</v>
      </c>
      <c r="I948" t="str" cm="1">
        <f t="array" ref="I948">HexToBits(I947)</f>
        <v>10110000000000110010011111001000</v>
      </c>
      <c r="K948" t="str" cm="1">
        <f t="array" ref="K948">HexToBits(K947)</f>
        <v>00110101100111100000100000011101</v>
      </c>
    </row>
    <row r="949" spans="1:11" x14ac:dyDescent="0.25">
      <c r="A949" s="7"/>
    </row>
    <row r="950" spans="1:11" x14ac:dyDescent="0.25">
      <c r="A950" s="7" t="s">
        <v>364</v>
      </c>
      <c r="B950" t="str">
        <f>_xlfn.BASE(
  (_xlfn.DECIMAL(C948,2)+_xlfn.DECIMAL(E948,2)+_xlfn.DECIMAL(G948,2)+_xlfn.DECIMAL(I948,2)+_xlfn.DECIMAL(K948,2))
  - (INT((_xlfn.DECIMAL(C948,2)+_xlfn.DECIMAL(E948,2)+_xlfn.DECIMAL(G948,2)+_xlfn.DECIMAL(I948,2)+_xlfn.DECIMAL(K948,2)) / 4294967296) * 4294967296),
  2,
  32
)</f>
        <v>00000100110000100110011101001101</v>
      </c>
    </row>
    <row r="951" spans="1:11" x14ac:dyDescent="0.25">
      <c r="A951" s="7" t="s">
        <v>369</v>
      </c>
      <c r="B951" t="str" cm="1">
        <f t="array" ref="B951">BitsToHex(B950)</f>
        <v>04C2674D</v>
      </c>
    </row>
    <row r="954" spans="1:11" x14ac:dyDescent="0.25">
      <c r="A954" s="7" t="s">
        <v>373</v>
      </c>
      <c r="B954" s="7"/>
      <c r="C954" s="29" t="s">
        <v>371</v>
      </c>
      <c r="D954" s="26" t="s">
        <v>183</v>
      </c>
      <c r="E954" s="8" t="s">
        <v>372</v>
      </c>
      <c r="J954" s="32"/>
    </row>
    <row r="955" spans="1:11" x14ac:dyDescent="0.25">
      <c r="A955" s="7"/>
    </row>
    <row r="956" spans="1:11" x14ac:dyDescent="0.25">
      <c r="A956" s="7"/>
      <c r="C956" s="27" t="str" cm="1">
        <f t="array" ref="C956">BSIG0_H(E943)</f>
        <v>98C85AC3</v>
      </c>
      <c r="E956" t="str" cm="1">
        <f t="array" ref="E956">MAJ_H(E943,F943,G943)</f>
        <v>BBAC838C</v>
      </c>
    </row>
    <row r="957" spans="1:11" x14ac:dyDescent="0.25">
      <c r="A957" s="7" t="s">
        <v>370</v>
      </c>
      <c r="C957" s="27" t="str" cm="1">
        <f t="array" ref="C957">HexToBits(C956)</f>
        <v>10011000110010000101101011000011</v>
      </c>
      <c r="E957" t="str" cm="1">
        <f t="array" ref="E957">HexToBits(E956)</f>
        <v>10111011101011001000001110001100</v>
      </c>
    </row>
    <row r="958" spans="1:11" x14ac:dyDescent="0.25">
      <c r="A958" s="7"/>
    </row>
    <row r="959" spans="1:11" x14ac:dyDescent="0.25">
      <c r="A959" s="7" t="s">
        <v>373</v>
      </c>
      <c r="B959" t="str">
        <f>_xlfn.BASE(MOD(_xlfn.DECIMAL(C957,2) + _xlfn.DECIMAL(E957,2), 4294967296), 2, 32)</f>
        <v>01010100011101001101111001001111</v>
      </c>
    </row>
    <row r="960" spans="1:11" x14ac:dyDescent="0.25">
      <c r="A960" s="7" t="s">
        <v>369</v>
      </c>
      <c r="B960" t="str" cm="1">
        <f t="array" ref="B960">BitsToHex(B959)</f>
        <v>5474DE4F</v>
      </c>
    </row>
    <row r="961" spans="1:13" x14ac:dyDescent="0.25">
      <c r="A961" s="7"/>
    </row>
    <row r="962" spans="1:13" x14ac:dyDescent="0.25">
      <c r="A962" s="7" t="s">
        <v>374</v>
      </c>
      <c r="C962" s="28" t="s">
        <v>31</v>
      </c>
      <c r="D962" s="26" t="s">
        <v>183</v>
      </c>
      <c r="E962" s="7" t="s">
        <v>227</v>
      </c>
    </row>
    <row r="963" spans="1:13" x14ac:dyDescent="0.25">
      <c r="A963" s="7"/>
      <c r="C963" s="28"/>
      <c r="D963" s="26"/>
      <c r="E963" s="7"/>
      <c r="L963" s="16"/>
    </row>
    <row r="964" spans="1:13" x14ac:dyDescent="0.25">
      <c r="C964" s="27" t="str" cm="1">
        <f t="array" ref="C964">HexToBits(H943)</f>
        <v>01100010110100001101101101100110</v>
      </c>
      <c r="D964" s="26"/>
      <c r="E964" t="str">
        <f>B950</f>
        <v>00000100110000100110011101001101</v>
      </c>
    </row>
    <row r="965" spans="1:13" x14ac:dyDescent="0.25">
      <c r="A965" s="7" t="s">
        <v>374</v>
      </c>
      <c r="B965" t="str">
        <f>_xlfn.BASE(MOD(_xlfn.DECIMAL(C964,2) + _xlfn.DECIMAL(E964,2), 4294967296), 2, 32)</f>
        <v>01100111100100110100001010110011</v>
      </c>
      <c r="D965" s="16"/>
    </row>
    <row r="966" spans="1:13" x14ac:dyDescent="0.25">
      <c r="A966" s="7" t="s">
        <v>375</v>
      </c>
      <c r="B966" t="str" cm="1">
        <f t="array" ref="B966">BitsToHex(B965)</f>
        <v>679342B3</v>
      </c>
      <c r="C966" s="28"/>
      <c r="D966" s="26"/>
      <c r="E966" s="7"/>
    </row>
    <row r="967" spans="1:13" x14ac:dyDescent="0.25">
      <c r="A967" s="7"/>
      <c r="C967" s="28"/>
      <c r="D967" s="26"/>
      <c r="E967" s="7"/>
    </row>
    <row r="968" spans="1:13" x14ac:dyDescent="0.25">
      <c r="A968" s="7" t="s">
        <v>376</v>
      </c>
      <c r="C968" s="28" t="s">
        <v>377</v>
      </c>
      <c r="D968" s="26" t="s">
        <v>183</v>
      </c>
      <c r="E968" s="7" t="s">
        <v>378</v>
      </c>
    </row>
    <row r="969" spans="1:13" x14ac:dyDescent="0.25">
      <c r="A969" s="7"/>
      <c r="C969" s="27" t="str">
        <f>B950</f>
        <v>00000100110000100110011101001101</v>
      </c>
      <c r="D969" s="16"/>
      <c r="E969" t="str">
        <f>B959</f>
        <v>01010100011101001101111001001111</v>
      </c>
    </row>
    <row r="970" spans="1:13" x14ac:dyDescent="0.25">
      <c r="A970" s="7"/>
      <c r="C970" s="28"/>
      <c r="D970" s="26"/>
      <c r="E970" s="7"/>
    </row>
    <row r="971" spans="1:13" x14ac:dyDescent="0.25">
      <c r="A971" s="7" t="s">
        <v>376</v>
      </c>
      <c r="B971" t="str">
        <f>_xlfn.BASE(MOD(_xlfn.DECIMAL(C969,2) + _xlfn.DECIMAL(E969,2), 4294967296), 2, 32)</f>
        <v>01011001001101110100010110011100</v>
      </c>
      <c r="C971" s="28"/>
      <c r="D971" s="26"/>
      <c r="E971" s="7"/>
    </row>
    <row r="972" spans="1:13" x14ac:dyDescent="0.25">
      <c r="A972" s="7" t="s">
        <v>375</v>
      </c>
      <c r="B972" t="str" cm="1">
        <f t="array" ref="B972">BitsToHex(B971)</f>
        <v>5937459C</v>
      </c>
    </row>
    <row r="974" spans="1:13" x14ac:dyDescent="0.25">
      <c r="C974" s="27" t="s">
        <v>225</v>
      </c>
      <c r="E974" s="24" t="s">
        <v>8</v>
      </c>
      <c r="F974" s="24" t="s">
        <v>29</v>
      </c>
      <c r="G974" s="24" t="s">
        <v>30</v>
      </c>
      <c r="H974" s="24" t="s">
        <v>31</v>
      </c>
      <c r="I974" s="24" t="s">
        <v>221</v>
      </c>
      <c r="J974" s="24" t="s">
        <v>222</v>
      </c>
      <c r="K974" s="24" t="s">
        <v>34</v>
      </c>
      <c r="L974" s="24" t="s">
        <v>223</v>
      </c>
    </row>
    <row r="975" spans="1:13" x14ac:dyDescent="0.25">
      <c r="E975" s="24" t="str">
        <f>B972</f>
        <v>5937459C</v>
      </c>
      <c r="F975" s="24" t="str">
        <f>E943</f>
        <v>9B88D3AC</v>
      </c>
      <c r="G975" s="24" t="str">
        <f>F943</f>
        <v>39E60B09</v>
      </c>
      <c r="H975" s="24" t="str">
        <f>G943</f>
        <v>FF2C87CC</v>
      </c>
      <c r="I975" s="24" t="str">
        <f>B966</f>
        <v>679342B3</v>
      </c>
      <c r="J975" s="25" t="str">
        <f>I943</f>
        <v>78C970F3</v>
      </c>
      <c r="K975" s="24" t="str">
        <f>J943</f>
        <v>1945DA3C</v>
      </c>
      <c r="L975" s="24" t="str">
        <f>K943</f>
        <v>875CE816</v>
      </c>
    </row>
    <row r="976" spans="1:13" x14ac:dyDescent="0.25">
      <c r="A976" s="2"/>
      <c r="B976" s="2"/>
      <c r="C976" s="30" t="s">
        <v>379</v>
      </c>
      <c r="D976" s="2">
        <v>27</v>
      </c>
      <c r="E976" s="2"/>
      <c r="F976" s="2"/>
      <c r="G976" s="2"/>
      <c r="H976" s="2"/>
      <c r="I976" s="2"/>
      <c r="J976" s="2"/>
      <c r="K976" s="2"/>
      <c r="L976" s="2"/>
      <c r="M976" s="2"/>
    </row>
    <row r="977" spans="1:12" x14ac:dyDescent="0.25">
      <c r="D977" t="s">
        <v>380</v>
      </c>
      <c r="E977">
        <f>D976+1</f>
        <v>28</v>
      </c>
    </row>
    <row r="978" spans="1:12" x14ac:dyDescent="0.25">
      <c r="C978" s="27" t="s">
        <v>224</v>
      </c>
      <c r="E978" s="24" t="s">
        <v>8</v>
      </c>
      <c r="F978" s="24" t="s">
        <v>29</v>
      </c>
      <c r="G978" s="24" t="s">
        <v>30</v>
      </c>
      <c r="H978" s="24" t="s">
        <v>31</v>
      </c>
      <c r="I978" s="24" t="s">
        <v>221</v>
      </c>
      <c r="J978" s="24" t="s">
        <v>222</v>
      </c>
      <c r="K978" s="24" t="s">
        <v>34</v>
      </c>
      <c r="L978" s="24" t="s">
        <v>223</v>
      </c>
    </row>
    <row r="979" spans="1:12" x14ac:dyDescent="0.25">
      <c r="E979" s="24" t="str">
        <f t="shared" ref="E979:L979" si="27">E975</f>
        <v>5937459C</v>
      </c>
      <c r="F979" s="24" t="str">
        <f t="shared" si="27"/>
        <v>9B88D3AC</v>
      </c>
      <c r="G979" s="24" t="str">
        <f t="shared" si="27"/>
        <v>39E60B09</v>
      </c>
      <c r="H979" s="24" t="str">
        <f t="shared" si="27"/>
        <v>FF2C87CC</v>
      </c>
      <c r="I979" s="25" t="str">
        <f t="shared" si="27"/>
        <v>679342B3</v>
      </c>
      <c r="J979" s="24" t="str">
        <f t="shared" si="27"/>
        <v>78C970F3</v>
      </c>
      <c r="K979" s="24" t="str">
        <f t="shared" si="27"/>
        <v>1945DA3C</v>
      </c>
      <c r="L979" s="24" t="str">
        <f t="shared" si="27"/>
        <v>875CE816</v>
      </c>
    </row>
    <row r="981" spans="1:12" x14ac:dyDescent="0.25">
      <c r="A981" s="7" t="s">
        <v>363</v>
      </c>
      <c r="B981" s="7"/>
      <c r="C981" s="28" t="s">
        <v>223</v>
      </c>
      <c r="D981" s="26" t="s">
        <v>183</v>
      </c>
      <c r="E981" s="8" t="s">
        <v>365</v>
      </c>
      <c r="F981" s="26" t="s">
        <v>183</v>
      </c>
      <c r="G981" s="8" t="s">
        <v>366</v>
      </c>
      <c r="H981" s="26" t="s">
        <v>183</v>
      </c>
      <c r="I981" s="8" t="s">
        <v>367</v>
      </c>
      <c r="J981" s="26" t="s">
        <v>183</v>
      </c>
      <c r="K981" s="8" t="s">
        <v>368</v>
      </c>
    </row>
    <row r="982" spans="1:12" x14ac:dyDescent="0.25">
      <c r="A982" s="7"/>
    </row>
    <row r="983" spans="1:12" x14ac:dyDescent="0.25">
      <c r="A983" s="7"/>
      <c r="C983" s="27" t="str">
        <f>L979</f>
        <v>875CE816</v>
      </c>
      <c r="E983" t="str" cm="1">
        <f t="array" ref="E983">BSIG1_H(I979)</f>
        <v>5253E6D1</v>
      </c>
      <c r="G983" t="str" cm="1">
        <f t="array" ref="G983">CH_H(I979,J979,K979)</f>
        <v>78C5D8BF</v>
      </c>
      <c r="I983" t="str" cm="1">
        <f t="array" ref="I983">INDEX(Folha3!$C$15:$J$22,IF(MOD(E977,8)=0,0,1)+INT(E977/8),1+MOD(E977-1,8))</f>
        <v>bf597fc7</v>
      </c>
      <c r="K983" t="str" cm="1">
        <f t="array" ref="K983">INDEX(Folha3!$C$38:$BN$38,1,E977)</f>
        <v>4F9B25C2</v>
      </c>
    </row>
    <row r="984" spans="1:12" x14ac:dyDescent="0.25">
      <c r="A984" s="7" t="s">
        <v>370</v>
      </c>
      <c r="C984" s="27" t="str" cm="1">
        <f t="array" ref="C984">HexToBits(C983)</f>
        <v>10000111010111001110100000010110</v>
      </c>
      <c r="E984" t="str" cm="1">
        <f t="array" ref="E984">HexToBits(E983)</f>
        <v>01010010010100111110011011010001</v>
      </c>
      <c r="G984" t="str" cm="1">
        <f t="array" ref="G984">HexToBits(G983)</f>
        <v>01111000110001011101100010111111</v>
      </c>
      <c r="I984" t="str" cm="1">
        <f t="array" ref="I984">HexToBits(I983)</f>
        <v>10111111010110010111111111000111</v>
      </c>
      <c r="K984" t="str" cm="1">
        <f t="array" ref="K984">HexToBits(K983)</f>
        <v>01001111100110110010010111000010</v>
      </c>
    </row>
    <row r="985" spans="1:12" x14ac:dyDescent="0.25">
      <c r="A985" s="7"/>
    </row>
    <row r="986" spans="1:12" x14ac:dyDescent="0.25">
      <c r="A986" s="7" t="s">
        <v>364</v>
      </c>
      <c r="B986" t="str">
        <f>_xlfn.BASE(
  (_xlfn.DECIMAL(C984,2)+_xlfn.DECIMAL(E984,2)+_xlfn.DECIMAL(G984,2)+_xlfn.DECIMAL(I984,2)+_xlfn.DECIMAL(K984,2))
  - (INT((_xlfn.DECIMAL(C984,2)+_xlfn.DECIMAL(E984,2)+_xlfn.DECIMAL(G984,2)+_xlfn.DECIMAL(I984,2)+_xlfn.DECIMAL(K984,2)) / 4294967296) * 4294967296),
  2,
  32
)</f>
        <v>01100001011010110100110100101111</v>
      </c>
    </row>
    <row r="987" spans="1:12" x14ac:dyDescent="0.25">
      <c r="A987" s="7" t="s">
        <v>369</v>
      </c>
      <c r="B987" t="str" cm="1">
        <f t="array" ref="B987">BitsToHex(B986)</f>
        <v>616B4D2F</v>
      </c>
    </row>
    <row r="990" spans="1:12" x14ac:dyDescent="0.25">
      <c r="A990" s="7" t="s">
        <v>373</v>
      </c>
      <c r="B990" s="7"/>
      <c r="C990" s="29" t="s">
        <v>371</v>
      </c>
      <c r="D990" s="26" t="s">
        <v>183</v>
      </c>
      <c r="E990" s="8" t="s">
        <v>372</v>
      </c>
      <c r="J990" s="32"/>
    </row>
    <row r="991" spans="1:12" x14ac:dyDescent="0.25">
      <c r="A991" s="7"/>
    </row>
    <row r="992" spans="1:12" x14ac:dyDescent="0.25">
      <c r="A992" s="7"/>
      <c r="C992" s="27" t="str" cm="1">
        <f t="array" ref="C992">BSIG0_H(E979)</f>
        <v>E7B969B9</v>
      </c>
      <c r="E992" t="str" cm="1">
        <f t="array" ref="E992">MAJ_H(E979,F979,G979)</f>
        <v>19A6438C</v>
      </c>
    </row>
    <row r="993" spans="1:12" x14ac:dyDescent="0.25">
      <c r="A993" s="7" t="s">
        <v>370</v>
      </c>
      <c r="C993" s="27" t="str" cm="1">
        <f t="array" ref="C993">HexToBits(C992)</f>
        <v>11100111101110010110100110111001</v>
      </c>
      <c r="E993" t="str" cm="1">
        <f t="array" ref="E993">HexToBits(E992)</f>
        <v>00011001101001100100001110001100</v>
      </c>
    </row>
    <row r="994" spans="1:12" x14ac:dyDescent="0.25">
      <c r="A994" s="7"/>
    </row>
    <row r="995" spans="1:12" x14ac:dyDescent="0.25">
      <c r="A995" s="7" t="s">
        <v>373</v>
      </c>
      <c r="B995" t="str">
        <f>_xlfn.BASE(MOD(_xlfn.DECIMAL(C993,2) + _xlfn.DECIMAL(E993,2), 4294967296), 2, 32)</f>
        <v>00000001010111111010110101000101</v>
      </c>
    </row>
    <row r="996" spans="1:12" x14ac:dyDescent="0.25">
      <c r="A996" s="7" t="s">
        <v>369</v>
      </c>
      <c r="B996" t="str" cm="1">
        <f t="array" ref="B996">BitsToHex(B995)</f>
        <v>015FAD45</v>
      </c>
    </row>
    <row r="997" spans="1:12" x14ac:dyDescent="0.25">
      <c r="A997" s="7"/>
    </row>
    <row r="998" spans="1:12" x14ac:dyDescent="0.25">
      <c r="A998" s="7" t="s">
        <v>374</v>
      </c>
      <c r="C998" s="28" t="s">
        <v>31</v>
      </c>
      <c r="D998" s="26" t="s">
        <v>183</v>
      </c>
      <c r="E998" s="7" t="s">
        <v>227</v>
      </c>
    </row>
    <row r="999" spans="1:12" x14ac:dyDescent="0.25">
      <c r="A999" s="7"/>
      <c r="C999" s="28"/>
      <c r="D999" s="26"/>
      <c r="E999" s="7"/>
      <c r="L999" s="16"/>
    </row>
    <row r="1000" spans="1:12" x14ac:dyDescent="0.25">
      <c r="C1000" s="27" t="str" cm="1">
        <f t="array" ref="C1000">HexToBits(H979)</f>
        <v>11111111001011001000011111001100</v>
      </c>
      <c r="D1000" s="26"/>
      <c r="E1000" t="str">
        <f>B986</f>
        <v>01100001011010110100110100101111</v>
      </c>
    </row>
    <row r="1001" spans="1:12" x14ac:dyDescent="0.25">
      <c r="A1001" s="7" t="s">
        <v>374</v>
      </c>
      <c r="B1001" t="str">
        <f>_xlfn.BASE(MOD(_xlfn.DECIMAL(C1000,2) + _xlfn.DECIMAL(E1000,2), 4294967296), 2, 32)</f>
        <v>01100000100101111101010011111011</v>
      </c>
      <c r="D1001" s="16"/>
    </row>
    <row r="1002" spans="1:12" x14ac:dyDescent="0.25">
      <c r="A1002" s="7" t="s">
        <v>375</v>
      </c>
      <c r="B1002" t="str" cm="1">
        <f t="array" ref="B1002">BitsToHex(B1001)</f>
        <v>6097D4FB</v>
      </c>
      <c r="C1002" s="28"/>
      <c r="D1002" s="26"/>
      <c r="E1002" s="7"/>
    </row>
    <row r="1003" spans="1:12" x14ac:dyDescent="0.25">
      <c r="A1003" s="7"/>
      <c r="C1003" s="28"/>
      <c r="D1003" s="26"/>
      <c r="E1003" s="7"/>
    </row>
    <row r="1004" spans="1:12" x14ac:dyDescent="0.25">
      <c r="A1004" s="7" t="s">
        <v>376</v>
      </c>
      <c r="C1004" s="28" t="s">
        <v>377</v>
      </c>
      <c r="D1004" s="26" t="s">
        <v>183</v>
      </c>
      <c r="E1004" s="7" t="s">
        <v>378</v>
      </c>
    </row>
    <row r="1005" spans="1:12" x14ac:dyDescent="0.25">
      <c r="A1005" s="7"/>
      <c r="C1005" s="27" t="str">
        <f>B986</f>
        <v>01100001011010110100110100101111</v>
      </c>
      <c r="D1005" s="16"/>
      <c r="E1005" t="str">
        <f>B995</f>
        <v>00000001010111111010110101000101</v>
      </c>
    </row>
    <row r="1006" spans="1:12" x14ac:dyDescent="0.25">
      <c r="A1006" s="7"/>
      <c r="C1006" s="28"/>
      <c r="D1006" s="26"/>
      <c r="E1006" s="7"/>
    </row>
    <row r="1007" spans="1:12" x14ac:dyDescent="0.25">
      <c r="A1007" s="7" t="s">
        <v>376</v>
      </c>
      <c r="B1007" t="str">
        <f>_xlfn.BASE(MOD(_xlfn.DECIMAL(C1005,2) + _xlfn.DECIMAL(E1005,2), 4294967296), 2, 32)</f>
        <v>01100010110010101111101001110100</v>
      </c>
      <c r="C1007" s="28"/>
      <c r="D1007" s="26"/>
      <c r="E1007" s="7"/>
    </row>
    <row r="1008" spans="1:12" x14ac:dyDescent="0.25">
      <c r="A1008" s="7" t="s">
        <v>375</v>
      </c>
      <c r="B1008" t="str" cm="1">
        <f t="array" ref="B1008">BitsToHex(B1007)</f>
        <v>62CAFA74</v>
      </c>
    </row>
    <row r="1010" spans="1:13" x14ac:dyDescent="0.25">
      <c r="C1010" s="27" t="s">
        <v>225</v>
      </c>
      <c r="E1010" s="24" t="s">
        <v>8</v>
      </c>
      <c r="F1010" s="24" t="s">
        <v>29</v>
      </c>
      <c r="G1010" s="24" t="s">
        <v>30</v>
      </c>
      <c r="H1010" s="24" t="s">
        <v>31</v>
      </c>
      <c r="I1010" s="24" t="s">
        <v>221</v>
      </c>
      <c r="J1010" s="24" t="s">
        <v>222</v>
      </c>
      <c r="K1010" s="24" t="s">
        <v>34</v>
      </c>
      <c r="L1010" s="24" t="s">
        <v>223</v>
      </c>
    </row>
    <row r="1011" spans="1:13" x14ac:dyDescent="0.25">
      <c r="E1011" s="24" t="str">
        <f>B1008</f>
        <v>62CAFA74</v>
      </c>
      <c r="F1011" s="24" t="str">
        <f>E979</f>
        <v>5937459C</v>
      </c>
      <c r="G1011" s="24" t="str">
        <f>F979</f>
        <v>9B88D3AC</v>
      </c>
      <c r="H1011" s="24" t="str">
        <f>G979</f>
        <v>39E60B09</v>
      </c>
      <c r="I1011" s="24" t="str">
        <f>B1002</f>
        <v>6097D4FB</v>
      </c>
      <c r="J1011" s="25" t="str">
        <f>I979</f>
        <v>679342B3</v>
      </c>
      <c r="K1011" s="24" t="str">
        <f>J979</f>
        <v>78C970F3</v>
      </c>
      <c r="L1011" s="24" t="str">
        <f>K979</f>
        <v>1945DA3C</v>
      </c>
    </row>
    <row r="1012" spans="1:13" x14ac:dyDescent="0.25">
      <c r="A1012" s="2"/>
      <c r="B1012" s="2"/>
      <c r="C1012" s="30" t="s">
        <v>379</v>
      </c>
      <c r="D1012" s="2">
        <v>28</v>
      </c>
      <c r="E1012" s="2"/>
      <c r="F1012" s="2"/>
      <c r="G1012" s="2"/>
      <c r="H1012" s="2"/>
      <c r="I1012" s="2"/>
      <c r="J1012" s="2"/>
      <c r="K1012" s="2"/>
      <c r="L1012" s="2"/>
      <c r="M1012" s="2"/>
    </row>
    <row r="1013" spans="1:13" x14ac:dyDescent="0.25">
      <c r="D1013" t="s">
        <v>380</v>
      </c>
      <c r="E1013">
        <f>D1012+1</f>
        <v>29</v>
      </c>
    </row>
    <row r="1014" spans="1:13" x14ac:dyDescent="0.25">
      <c r="C1014" s="27" t="s">
        <v>224</v>
      </c>
      <c r="E1014" s="24" t="s">
        <v>8</v>
      </c>
      <c r="F1014" s="24" t="s">
        <v>29</v>
      </c>
      <c r="G1014" s="24" t="s">
        <v>30</v>
      </c>
      <c r="H1014" s="24" t="s">
        <v>31</v>
      </c>
      <c r="I1014" s="24" t="s">
        <v>221</v>
      </c>
      <c r="J1014" s="24" t="s">
        <v>222</v>
      </c>
      <c r="K1014" s="24" t="s">
        <v>34</v>
      </c>
      <c r="L1014" s="24" t="s">
        <v>223</v>
      </c>
    </row>
    <row r="1015" spans="1:13" x14ac:dyDescent="0.25">
      <c r="E1015" s="24" t="str">
        <f t="shared" ref="E1015:L1015" si="28">E1011</f>
        <v>62CAFA74</v>
      </c>
      <c r="F1015" s="24" t="str">
        <f t="shared" si="28"/>
        <v>5937459C</v>
      </c>
      <c r="G1015" s="24" t="str">
        <f t="shared" si="28"/>
        <v>9B88D3AC</v>
      </c>
      <c r="H1015" s="24" t="str">
        <f t="shared" si="28"/>
        <v>39E60B09</v>
      </c>
      <c r="I1015" s="25" t="str">
        <f t="shared" si="28"/>
        <v>6097D4FB</v>
      </c>
      <c r="J1015" s="24" t="str">
        <f t="shared" si="28"/>
        <v>679342B3</v>
      </c>
      <c r="K1015" s="24" t="str">
        <f t="shared" si="28"/>
        <v>78C970F3</v>
      </c>
      <c r="L1015" s="24" t="str">
        <f t="shared" si="28"/>
        <v>1945DA3C</v>
      </c>
    </row>
    <row r="1017" spans="1:13" x14ac:dyDescent="0.25">
      <c r="A1017" s="7" t="s">
        <v>363</v>
      </c>
      <c r="B1017" s="7"/>
      <c r="C1017" s="28" t="s">
        <v>223</v>
      </c>
      <c r="D1017" s="26" t="s">
        <v>183</v>
      </c>
      <c r="E1017" s="8" t="s">
        <v>365</v>
      </c>
      <c r="F1017" s="26" t="s">
        <v>183</v>
      </c>
      <c r="G1017" s="8" t="s">
        <v>366</v>
      </c>
      <c r="H1017" s="26" t="s">
        <v>183</v>
      </c>
      <c r="I1017" s="8" t="s">
        <v>367</v>
      </c>
      <c r="J1017" s="26" t="s">
        <v>183</v>
      </c>
      <c r="K1017" s="8" t="s">
        <v>368</v>
      </c>
    </row>
    <row r="1018" spans="1:13" x14ac:dyDescent="0.25">
      <c r="A1018" s="7"/>
    </row>
    <row r="1019" spans="1:13" x14ac:dyDescent="0.25">
      <c r="A1019" s="7"/>
      <c r="C1019" s="27" t="str">
        <f>L1015</f>
        <v>1945DA3C</v>
      </c>
      <c r="E1019" t="str" cm="1">
        <f t="array" ref="E1019">BSIG1_H(I1015)</f>
        <v>39043019</v>
      </c>
      <c r="G1019" t="str" cm="1">
        <f t="array" ref="G1019">CH_H(I1015,J1015,K1015)</f>
        <v>78DB60B3</v>
      </c>
      <c r="I1019" t="str" cm="1">
        <f t="array" ref="I1019">INDEX(Folha3!$C$15:$J$22,IF(MOD(E1013,8)=0,0,1)+INT(E1013/8),1+MOD(E1013-1,8))</f>
        <v>c6e00bf3</v>
      </c>
      <c r="K1019" t="str" cm="1">
        <f t="array" ref="K1019">INDEX(Folha3!$C$38:$BN$38,1,E1013)</f>
        <v>4B725E57</v>
      </c>
    </row>
    <row r="1020" spans="1:13" x14ac:dyDescent="0.25">
      <c r="A1020" s="7" t="s">
        <v>370</v>
      </c>
      <c r="C1020" s="27" t="str" cm="1">
        <f t="array" ref="C1020">HexToBits(C1019)</f>
        <v>00011001010001011101101000111100</v>
      </c>
      <c r="E1020" t="str" cm="1">
        <f t="array" ref="E1020">HexToBits(E1019)</f>
        <v>00111001000001000011000000011001</v>
      </c>
      <c r="G1020" t="str" cm="1">
        <f t="array" ref="G1020">HexToBits(G1019)</f>
        <v>01111000110110110110000010110011</v>
      </c>
      <c r="I1020" t="str" cm="1">
        <f t="array" ref="I1020">HexToBits(I1019)</f>
        <v>11000110111000000000101111110011</v>
      </c>
      <c r="K1020" t="str" cm="1">
        <f t="array" ref="K1020">HexToBits(K1019)</f>
        <v>01001011011100100101111001010111</v>
      </c>
    </row>
    <row r="1021" spans="1:13" x14ac:dyDescent="0.25">
      <c r="A1021" s="7"/>
    </row>
    <row r="1022" spans="1:13" x14ac:dyDescent="0.25">
      <c r="A1022" s="7" t="s">
        <v>364</v>
      </c>
      <c r="B1022" t="str">
        <f>_xlfn.BASE(
  (_xlfn.DECIMAL(C1020,2)+_xlfn.DECIMAL(E1020,2)+_xlfn.DECIMAL(G1020,2)+_xlfn.DECIMAL(I1020,2)+_xlfn.DECIMAL(K1020,2))
  - (INT((_xlfn.DECIMAL(C1020,2)+_xlfn.DECIMAL(E1020,2)+_xlfn.DECIMAL(G1020,2)+_xlfn.DECIMAL(I1020,2)+_xlfn.DECIMAL(K1020,2)) / 4294967296) * 4294967296),
  2,
  32
)</f>
        <v>11011101011101111101010101010010</v>
      </c>
    </row>
    <row r="1023" spans="1:13" x14ac:dyDescent="0.25">
      <c r="A1023" s="7" t="s">
        <v>369</v>
      </c>
      <c r="B1023" t="str" cm="1">
        <f t="array" ref="B1023">BitsToHex(B1022)</f>
        <v>DD77D552</v>
      </c>
    </row>
    <row r="1026" spans="1:12" x14ac:dyDescent="0.25">
      <c r="A1026" s="7" t="s">
        <v>373</v>
      </c>
      <c r="B1026" s="7"/>
      <c r="C1026" s="29" t="s">
        <v>371</v>
      </c>
      <c r="D1026" s="26" t="s">
        <v>183</v>
      </c>
      <c r="E1026" s="8" t="s">
        <v>372</v>
      </c>
      <c r="J1026" s="32"/>
    </row>
    <row r="1027" spans="1:12" x14ac:dyDescent="0.25">
      <c r="A1027" s="7"/>
    </row>
    <row r="1028" spans="1:12" x14ac:dyDescent="0.25">
      <c r="A1028" s="7"/>
      <c r="C1028" s="27" t="str" cm="1">
        <f t="array" ref="C1028">BSIG0_H(E1015)</f>
        <v>E0F87941</v>
      </c>
      <c r="E1028" t="str" cm="1">
        <f t="array" ref="E1028">MAJ_H(E1015,F1015,G1015)</f>
        <v>5B8AD3BC</v>
      </c>
    </row>
    <row r="1029" spans="1:12" x14ac:dyDescent="0.25">
      <c r="A1029" s="7" t="s">
        <v>370</v>
      </c>
      <c r="C1029" s="27" t="str" cm="1">
        <f t="array" ref="C1029">HexToBits(C1028)</f>
        <v>11100000111110000111100101000001</v>
      </c>
      <c r="E1029" t="str" cm="1">
        <f t="array" ref="E1029">HexToBits(E1028)</f>
        <v>01011011100010101101001110111100</v>
      </c>
    </row>
    <row r="1030" spans="1:12" x14ac:dyDescent="0.25">
      <c r="A1030" s="7"/>
    </row>
    <row r="1031" spans="1:12" x14ac:dyDescent="0.25">
      <c r="A1031" s="7" t="s">
        <v>373</v>
      </c>
      <c r="B1031" t="str">
        <f>_xlfn.BASE(MOD(_xlfn.DECIMAL(C1029,2) + _xlfn.DECIMAL(E1029,2), 4294967296), 2, 32)</f>
        <v>00111100100000110100110011111101</v>
      </c>
    </row>
    <row r="1032" spans="1:12" x14ac:dyDescent="0.25">
      <c r="A1032" s="7" t="s">
        <v>369</v>
      </c>
      <c r="B1032" t="str" cm="1">
        <f t="array" ref="B1032">BitsToHex(B1031)</f>
        <v>3C834CFD</v>
      </c>
    </row>
    <row r="1033" spans="1:12" x14ac:dyDescent="0.25">
      <c r="A1033" s="7"/>
    </row>
    <row r="1034" spans="1:12" x14ac:dyDescent="0.25">
      <c r="A1034" s="7" t="s">
        <v>374</v>
      </c>
      <c r="C1034" s="28" t="s">
        <v>31</v>
      </c>
      <c r="D1034" s="26" t="s">
        <v>183</v>
      </c>
      <c r="E1034" s="7" t="s">
        <v>227</v>
      </c>
    </row>
    <row r="1035" spans="1:12" x14ac:dyDescent="0.25">
      <c r="A1035" s="7"/>
      <c r="C1035" s="28"/>
      <c r="D1035" s="26"/>
      <c r="E1035" s="7"/>
      <c r="L1035" s="16"/>
    </row>
    <row r="1036" spans="1:12" x14ac:dyDescent="0.25">
      <c r="C1036" s="27" t="str" cm="1">
        <f t="array" ref="C1036">HexToBits(H1015)</f>
        <v>00111001111001100000101100001001</v>
      </c>
      <c r="D1036" s="26"/>
      <c r="E1036" t="str">
        <f>B1022</f>
        <v>11011101011101111101010101010010</v>
      </c>
    </row>
    <row r="1037" spans="1:12" x14ac:dyDescent="0.25">
      <c r="A1037" s="7" t="s">
        <v>374</v>
      </c>
      <c r="B1037" t="str">
        <f>_xlfn.BASE(MOD(_xlfn.DECIMAL(C1036,2) + _xlfn.DECIMAL(E1036,2), 4294967296), 2, 32)</f>
        <v>00010111010111011110000001011011</v>
      </c>
      <c r="D1037" s="16"/>
    </row>
    <row r="1038" spans="1:12" x14ac:dyDescent="0.25">
      <c r="A1038" s="7" t="s">
        <v>375</v>
      </c>
      <c r="B1038" t="str" cm="1">
        <f t="array" ref="B1038">BitsToHex(B1037)</f>
        <v>175DE05B</v>
      </c>
      <c r="C1038" s="28"/>
      <c r="D1038" s="26"/>
      <c r="E1038" s="7"/>
    </row>
    <row r="1039" spans="1:12" x14ac:dyDescent="0.25">
      <c r="A1039" s="7"/>
      <c r="C1039" s="28"/>
      <c r="D1039" s="26"/>
      <c r="E1039" s="7"/>
    </row>
    <row r="1040" spans="1:12" x14ac:dyDescent="0.25">
      <c r="A1040" s="7" t="s">
        <v>376</v>
      </c>
      <c r="C1040" s="28" t="s">
        <v>377</v>
      </c>
      <c r="D1040" s="26" t="s">
        <v>183</v>
      </c>
      <c r="E1040" s="7" t="s">
        <v>378</v>
      </c>
    </row>
    <row r="1041" spans="1:13" x14ac:dyDescent="0.25">
      <c r="A1041" s="7"/>
      <c r="C1041" s="27" t="str">
        <f>B1022</f>
        <v>11011101011101111101010101010010</v>
      </c>
      <c r="D1041" s="16"/>
      <c r="E1041" t="str">
        <f>B1031</f>
        <v>00111100100000110100110011111101</v>
      </c>
    </row>
    <row r="1042" spans="1:13" x14ac:dyDescent="0.25">
      <c r="A1042" s="7"/>
      <c r="C1042" s="28"/>
      <c r="D1042" s="26"/>
      <c r="E1042" s="7"/>
    </row>
    <row r="1043" spans="1:13" x14ac:dyDescent="0.25">
      <c r="A1043" s="7" t="s">
        <v>376</v>
      </c>
      <c r="B1043" t="str">
        <f>_xlfn.BASE(MOD(_xlfn.DECIMAL(C1041,2) + _xlfn.DECIMAL(E1041,2), 4294967296), 2, 32)</f>
        <v>00011001111110110010001001001111</v>
      </c>
      <c r="C1043" s="28"/>
      <c r="D1043" s="26"/>
      <c r="E1043" s="7"/>
    </row>
    <row r="1044" spans="1:13" x14ac:dyDescent="0.25">
      <c r="A1044" s="7" t="s">
        <v>375</v>
      </c>
      <c r="B1044" t="str" cm="1">
        <f t="array" ref="B1044">BitsToHex(B1043)</f>
        <v>19FB224F</v>
      </c>
    </row>
    <row r="1046" spans="1:13" x14ac:dyDescent="0.25">
      <c r="C1046" s="27" t="s">
        <v>225</v>
      </c>
      <c r="E1046" s="24" t="s">
        <v>8</v>
      </c>
      <c r="F1046" s="24" t="s">
        <v>29</v>
      </c>
      <c r="G1046" s="24" t="s">
        <v>30</v>
      </c>
      <c r="H1046" s="24" t="s">
        <v>31</v>
      </c>
      <c r="I1046" s="24" t="s">
        <v>221</v>
      </c>
      <c r="J1046" s="24" t="s">
        <v>222</v>
      </c>
      <c r="K1046" s="24" t="s">
        <v>34</v>
      </c>
      <c r="L1046" s="24" t="s">
        <v>223</v>
      </c>
    </row>
    <row r="1047" spans="1:13" x14ac:dyDescent="0.25">
      <c r="E1047" s="24" t="str">
        <f>B1044</f>
        <v>19FB224F</v>
      </c>
      <c r="F1047" s="24" t="str">
        <f>E1015</f>
        <v>62CAFA74</v>
      </c>
      <c r="G1047" s="24" t="str">
        <f>F1015</f>
        <v>5937459C</v>
      </c>
      <c r="H1047" s="24" t="str">
        <f>G1015</f>
        <v>9B88D3AC</v>
      </c>
      <c r="I1047" s="24" t="str">
        <f>B1038</f>
        <v>175DE05B</v>
      </c>
      <c r="J1047" s="25" t="str">
        <f>I1015</f>
        <v>6097D4FB</v>
      </c>
      <c r="K1047" s="24" t="str">
        <f>J1015</f>
        <v>679342B3</v>
      </c>
      <c r="L1047" s="24" t="str">
        <f>K1015</f>
        <v>78C970F3</v>
      </c>
    </row>
    <row r="1048" spans="1:13" x14ac:dyDescent="0.25">
      <c r="A1048" s="2"/>
      <c r="B1048" s="2"/>
      <c r="C1048" s="30" t="s">
        <v>379</v>
      </c>
      <c r="D1048" s="2">
        <v>29</v>
      </c>
      <c r="E1048" s="2"/>
      <c r="F1048" s="2"/>
      <c r="G1048" s="2"/>
      <c r="H1048" s="2"/>
      <c r="I1048" s="2"/>
      <c r="J1048" s="2"/>
      <c r="K1048" s="2"/>
      <c r="L1048" s="2"/>
      <c r="M1048" s="2"/>
    </row>
    <row r="1049" spans="1:13" x14ac:dyDescent="0.25">
      <c r="D1049" t="s">
        <v>380</v>
      </c>
      <c r="E1049">
        <f>D1048+1</f>
        <v>30</v>
      </c>
    </row>
    <row r="1050" spans="1:13" x14ac:dyDescent="0.25">
      <c r="C1050" s="27" t="s">
        <v>224</v>
      </c>
      <c r="E1050" s="24" t="s">
        <v>8</v>
      </c>
      <c r="F1050" s="24" t="s">
        <v>29</v>
      </c>
      <c r="G1050" s="24" t="s">
        <v>30</v>
      </c>
      <c r="H1050" s="24" t="s">
        <v>31</v>
      </c>
      <c r="I1050" s="24" t="s">
        <v>221</v>
      </c>
      <c r="J1050" s="24" t="s">
        <v>222</v>
      </c>
      <c r="K1050" s="24" t="s">
        <v>34</v>
      </c>
      <c r="L1050" s="24" t="s">
        <v>223</v>
      </c>
    </row>
    <row r="1051" spans="1:13" x14ac:dyDescent="0.25">
      <c r="E1051" s="24" t="str">
        <f t="shared" ref="E1051:L1051" si="29">E1047</f>
        <v>19FB224F</v>
      </c>
      <c r="F1051" s="24" t="str">
        <f t="shared" si="29"/>
        <v>62CAFA74</v>
      </c>
      <c r="G1051" s="24" t="str">
        <f t="shared" si="29"/>
        <v>5937459C</v>
      </c>
      <c r="H1051" s="24" t="str">
        <f t="shared" si="29"/>
        <v>9B88D3AC</v>
      </c>
      <c r="I1051" s="25" t="str">
        <f t="shared" si="29"/>
        <v>175DE05B</v>
      </c>
      <c r="J1051" s="24" t="str">
        <f t="shared" si="29"/>
        <v>6097D4FB</v>
      </c>
      <c r="K1051" s="24" t="str">
        <f t="shared" si="29"/>
        <v>679342B3</v>
      </c>
      <c r="L1051" s="24" t="str">
        <f t="shared" si="29"/>
        <v>78C970F3</v>
      </c>
    </row>
    <row r="1053" spans="1:13" x14ac:dyDescent="0.25">
      <c r="A1053" s="7" t="s">
        <v>363</v>
      </c>
      <c r="B1053" s="7"/>
      <c r="C1053" s="28" t="s">
        <v>223</v>
      </c>
      <c r="D1053" s="26" t="s">
        <v>183</v>
      </c>
      <c r="E1053" s="8" t="s">
        <v>365</v>
      </c>
      <c r="F1053" s="26" t="s">
        <v>183</v>
      </c>
      <c r="G1053" s="8" t="s">
        <v>366</v>
      </c>
      <c r="H1053" s="26" t="s">
        <v>183</v>
      </c>
      <c r="I1053" s="8" t="s">
        <v>367</v>
      </c>
      <c r="J1053" s="26" t="s">
        <v>183</v>
      </c>
      <c r="K1053" s="8" t="s">
        <v>368</v>
      </c>
    </row>
    <row r="1054" spans="1:13" x14ac:dyDescent="0.25">
      <c r="A1054" s="7"/>
    </row>
    <row r="1055" spans="1:13" x14ac:dyDescent="0.25">
      <c r="A1055" s="7"/>
      <c r="C1055" s="27" t="str">
        <f>L1051</f>
        <v>78C970F3</v>
      </c>
      <c r="E1055" t="str" cm="1">
        <f t="array" ref="E1055">BSIG1_H(I1051)</f>
        <v>C9CFB1B6</v>
      </c>
      <c r="G1055" t="str" cm="1">
        <f t="array" ref="G1055">CH_H(I1051,J1051,K1051)</f>
        <v>6097C2FB</v>
      </c>
      <c r="I1055" t="str" cm="1">
        <f t="array" ref="I1055">INDEX(Folha3!$C$15:$J$22,IF(MOD(E1049,8)=0,0,1)+INT(E1049/8),1+MOD(E1049-1,8))</f>
        <v>d5a79147</v>
      </c>
      <c r="K1055" t="str" cm="1">
        <f t="array" ref="K1055">INDEX(Folha3!$C$38:$BN$38,1,E1049)</f>
        <v>1FADF2DD</v>
      </c>
    </row>
    <row r="1056" spans="1:13" x14ac:dyDescent="0.25">
      <c r="A1056" s="7" t="s">
        <v>370</v>
      </c>
      <c r="C1056" s="27" t="str" cm="1">
        <f t="array" ref="C1056">HexToBits(C1055)</f>
        <v>01111000110010010111000011110011</v>
      </c>
      <c r="E1056" t="str" cm="1">
        <f t="array" ref="E1056">HexToBits(E1055)</f>
        <v>11001001110011111011000110110110</v>
      </c>
      <c r="G1056" t="str" cm="1">
        <f t="array" ref="G1056">HexToBits(G1055)</f>
        <v>01100000100101111100001011111011</v>
      </c>
      <c r="I1056" t="str" cm="1">
        <f t="array" ref="I1056">HexToBits(I1055)</f>
        <v>11010101101001111001000101000111</v>
      </c>
      <c r="K1056" t="str" cm="1">
        <f t="array" ref="K1056">HexToBits(K1055)</f>
        <v>00011111101011011111001011011101</v>
      </c>
    </row>
    <row r="1057" spans="1:12" x14ac:dyDescent="0.25">
      <c r="A1057" s="7"/>
    </row>
    <row r="1058" spans="1:12" x14ac:dyDescent="0.25">
      <c r="A1058" s="7" t="s">
        <v>364</v>
      </c>
      <c r="B1058" t="str">
        <f>_xlfn.BASE(
  (_xlfn.DECIMAL(C1056,2)+_xlfn.DECIMAL(E1056,2)+_xlfn.DECIMAL(G1056,2)+_xlfn.DECIMAL(I1056,2)+_xlfn.DECIMAL(K1056,2))
  - (INT((_xlfn.DECIMAL(C1056,2)+_xlfn.DECIMAL(E1056,2)+_xlfn.DECIMAL(G1056,2)+_xlfn.DECIMAL(I1056,2)+_xlfn.DECIMAL(K1056,2)) / 4294967296) * 4294967296),
  2,
  32
)</f>
        <v>10011000100001100110100111001000</v>
      </c>
    </row>
    <row r="1059" spans="1:12" x14ac:dyDescent="0.25">
      <c r="A1059" s="7" t="s">
        <v>369</v>
      </c>
      <c r="B1059" t="str" cm="1">
        <f t="array" ref="B1059">BitsToHex(B1058)</f>
        <v>988669C8</v>
      </c>
    </row>
    <row r="1062" spans="1:12" x14ac:dyDescent="0.25">
      <c r="A1062" s="7" t="s">
        <v>373</v>
      </c>
      <c r="B1062" s="7"/>
      <c r="C1062" s="29" t="s">
        <v>371</v>
      </c>
      <c r="D1062" s="26" t="s">
        <v>183</v>
      </c>
      <c r="E1062" s="8" t="s">
        <v>372</v>
      </c>
      <c r="J1062" s="32"/>
    </row>
    <row r="1063" spans="1:12" x14ac:dyDescent="0.25">
      <c r="A1063" s="7"/>
    </row>
    <row r="1064" spans="1:12" x14ac:dyDescent="0.25">
      <c r="A1064" s="7"/>
      <c r="C1064" s="27" t="str" cm="1">
        <f t="array" ref="C1064">BSIG0_H(E1051)</f>
        <v>388F3B2D</v>
      </c>
      <c r="E1064" t="str" cm="1">
        <f t="array" ref="E1064">MAJ_H(E1051,F1051,G1051)</f>
        <v>59FB625C</v>
      </c>
    </row>
    <row r="1065" spans="1:12" x14ac:dyDescent="0.25">
      <c r="A1065" s="7" t="s">
        <v>370</v>
      </c>
      <c r="C1065" s="27" t="str" cm="1">
        <f t="array" ref="C1065">HexToBits(C1064)</f>
        <v>00111000100011110011101100101101</v>
      </c>
      <c r="E1065" t="str" cm="1">
        <f t="array" ref="E1065">HexToBits(E1064)</f>
        <v>01011001111110110110001001011100</v>
      </c>
    </row>
    <row r="1066" spans="1:12" x14ac:dyDescent="0.25">
      <c r="A1066" s="7"/>
    </row>
    <row r="1067" spans="1:12" x14ac:dyDescent="0.25">
      <c r="A1067" s="7" t="s">
        <v>373</v>
      </c>
      <c r="B1067" t="str">
        <f>_xlfn.BASE(MOD(_xlfn.DECIMAL(C1065,2) + _xlfn.DECIMAL(E1065,2), 4294967296), 2, 32)</f>
        <v>10010010100010101001110110001001</v>
      </c>
    </row>
    <row r="1068" spans="1:12" x14ac:dyDescent="0.25">
      <c r="A1068" s="7" t="s">
        <v>369</v>
      </c>
      <c r="B1068" t="str" cm="1">
        <f t="array" ref="B1068">BitsToHex(B1067)</f>
        <v>928A9D89</v>
      </c>
    </row>
    <row r="1069" spans="1:12" x14ac:dyDescent="0.25">
      <c r="A1069" s="7"/>
    </row>
    <row r="1070" spans="1:12" x14ac:dyDescent="0.25">
      <c r="A1070" s="7" t="s">
        <v>374</v>
      </c>
      <c r="C1070" s="28" t="s">
        <v>31</v>
      </c>
      <c r="D1070" s="26" t="s">
        <v>183</v>
      </c>
      <c r="E1070" s="7" t="s">
        <v>227</v>
      </c>
    </row>
    <row r="1071" spans="1:12" x14ac:dyDescent="0.25">
      <c r="A1071" s="7"/>
      <c r="C1071" s="28"/>
      <c r="D1071" s="26"/>
      <c r="E1071" s="7"/>
      <c r="L1071" s="16"/>
    </row>
    <row r="1072" spans="1:12" x14ac:dyDescent="0.25">
      <c r="C1072" s="27" t="str" cm="1">
        <f t="array" ref="C1072">HexToBits(H1051)</f>
        <v>10011011100010001101001110101100</v>
      </c>
      <c r="D1072" s="26"/>
      <c r="E1072" t="str">
        <f>B1058</f>
        <v>10011000100001100110100111001000</v>
      </c>
    </row>
    <row r="1073" spans="1:13" x14ac:dyDescent="0.25">
      <c r="A1073" s="7" t="s">
        <v>374</v>
      </c>
      <c r="B1073" t="str">
        <f>_xlfn.BASE(MOD(_xlfn.DECIMAL(C1072,2) + _xlfn.DECIMAL(E1072,2), 4294967296), 2, 32)</f>
        <v>00110100000011110011110101110100</v>
      </c>
      <c r="D1073" s="16"/>
    </row>
    <row r="1074" spans="1:13" x14ac:dyDescent="0.25">
      <c r="A1074" s="7" t="s">
        <v>375</v>
      </c>
      <c r="B1074" t="str" cm="1">
        <f t="array" ref="B1074">BitsToHex(B1073)</f>
        <v>340F3D74</v>
      </c>
      <c r="C1074" s="28"/>
      <c r="D1074" s="26"/>
      <c r="E1074" s="7"/>
    </row>
    <row r="1075" spans="1:13" x14ac:dyDescent="0.25">
      <c r="A1075" s="7"/>
      <c r="C1075" s="28"/>
      <c r="D1075" s="26"/>
      <c r="E1075" s="7"/>
    </row>
    <row r="1076" spans="1:13" x14ac:dyDescent="0.25">
      <c r="A1076" s="7" t="s">
        <v>376</v>
      </c>
      <c r="C1076" s="28" t="s">
        <v>377</v>
      </c>
      <c r="D1076" s="26" t="s">
        <v>183</v>
      </c>
      <c r="E1076" s="7" t="s">
        <v>378</v>
      </c>
    </row>
    <row r="1077" spans="1:13" x14ac:dyDescent="0.25">
      <c r="A1077" s="7"/>
      <c r="C1077" s="27" t="str">
        <f>B1058</f>
        <v>10011000100001100110100111001000</v>
      </c>
      <c r="D1077" s="16"/>
      <c r="E1077" t="str">
        <f>B1067</f>
        <v>10010010100010101001110110001001</v>
      </c>
    </row>
    <row r="1078" spans="1:13" x14ac:dyDescent="0.25">
      <c r="A1078" s="7"/>
      <c r="C1078" s="28"/>
      <c r="D1078" s="26"/>
      <c r="E1078" s="7"/>
    </row>
    <row r="1079" spans="1:13" x14ac:dyDescent="0.25">
      <c r="A1079" s="7" t="s">
        <v>376</v>
      </c>
      <c r="B1079" t="str">
        <f>_xlfn.BASE(MOD(_xlfn.DECIMAL(C1077,2) + _xlfn.DECIMAL(E1077,2), 4294967296), 2, 32)</f>
        <v>00101011000100010000011101010001</v>
      </c>
      <c r="C1079" s="28"/>
      <c r="D1079" s="26"/>
      <c r="E1079" s="7"/>
    </row>
    <row r="1080" spans="1:13" x14ac:dyDescent="0.25">
      <c r="A1080" s="7" t="s">
        <v>375</v>
      </c>
      <c r="B1080" t="str" cm="1">
        <f t="array" ref="B1080">BitsToHex(B1079)</f>
        <v>2B110751</v>
      </c>
    </row>
    <row r="1082" spans="1:13" x14ac:dyDescent="0.25">
      <c r="C1082" s="27" t="s">
        <v>225</v>
      </c>
      <c r="E1082" s="24" t="s">
        <v>8</v>
      </c>
      <c r="F1082" s="24" t="s">
        <v>29</v>
      </c>
      <c r="G1082" s="24" t="s">
        <v>30</v>
      </c>
      <c r="H1082" s="24" t="s">
        <v>31</v>
      </c>
      <c r="I1082" s="24" t="s">
        <v>221</v>
      </c>
      <c r="J1082" s="24" t="s">
        <v>222</v>
      </c>
      <c r="K1082" s="24" t="s">
        <v>34</v>
      </c>
      <c r="L1082" s="24" t="s">
        <v>223</v>
      </c>
    </row>
    <row r="1083" spans="1:13" x14ac:dyDescent="0.25">
      <c r="E1083" s="24" t="str">
        <f>B1080</f>
        <v>2B110751</v>
      </c>
      <c r="F1083" s="24" t="str">
        <f>E1051</f>
        <v>19FB224F</v>
      </c>
      <c r="G1083" s="24" t="str">
        <f>F1051</f>
        <v>62CAFA74</v>
      </c>
      <c r="H1083" s="24" t="str">
        <f>G1051</f>
        <v>5937459C</v>
      </c>
      <c r="I1083" s="24" t="str">
        <f>B1074</f>
        <v>340F3D74</v>
      </c>
      <c r="J1083" s="25" t="str">
        <f>I1051</f>
        <v>175DE05B</v>
      </c>
      <c r="K1083" s="24" t="str">
        <f>J1051</f>
        <v>6097D4FB</v>
      </c>
      <c r="L1083" s="24" t="str">
        <f>K1051</f>
        <v>679342B3</v>
      </c>
    </row>
    <row r="1084" spans="1:13" x14ac:dyDescent="0.25">
      <c r="A1084" s="2"/>
      <c r="B1084" s="2"/>
      <c r="C1084" s="30" t="s">
        <v>379</v>
      </c>
      <c r="D1084" s="2">
        <v>30</v>
      </c>
      <c r="E1084" s="2"/>
      <c r="F1084" s="2"/>
      <c r="G1084" s="2"/>
      <c r="H1084" s="2"/>
      <c r="I1084" s="2"/>
      <c r="J1084" s="2"/>
      <c r="K1084" s="2"/>
      <c r="L1084" s="2"/>
      <c r="M1084" s="2"/>
    </row>
    <row r="1085" spans="1:13" x14ac:dyDescent="0.25">
      <c r="D1085" t="s">
        <v>380</v>
      </c>
      <c r="E1085">
        <f>D1084+1</f>
        <v>31</v>
      </c>
    </row>
    <row r="1086" spans="1:13" x14ac:dyDescent="0.25">
      <c r="C1086" s="27" t="s">
        <v>224</v>
      </c>
      <c r="E1086" s="24" t="s">
        <v>8</v>
      </c>
      <c r="F1086" s="24" t="s">
        <v>29</v>
      </c>
      <c r="G1086" s="24" t="s">
        <v>30</v>
      </c>
      <c r="H1086" s="24" t="s">
        <v>31</v>
      </c>
      <c r="I1086" s="24" t="s">
        <v>221</v>
      </c>
      <c r="J1086" s="24" t="s">
        <v>222</v>
      </c>
      <c r="K1086" s="24" t="s">
        <v>34</v>
      </c>
      <c r="L1086" s="24" t="s">
        <v>223</v>
      </c>
    </row>
    <row r="1087" spans="1:13" x14ac:dyDescent="0.25">
      <c r="E1087" s="24" t="str">
        <f t="shared" ref="E1087:L1087" si="30">E1083</f>
        <v>2B110751</v>
      </c>
      <c r="F1087" s="24" t="str">
        <f t="shared" si="30"/>
        <v>19FB224F</v>
      </c>
      <c r="G1087" s="24" t="str">
        <f t="shared" si="30"/>
        <v>62CAFA74</v>
      </c>
      <c r="H1087" s="24" t="str">
        <f t="shared" si="30"/>
        <v>5937459C</v>
      </c>
      <c r="I1087" s="25" t="str">
        <f t="shared" si="30"/>
        <v>340F3D74</v>
      </c>
      <c r="J1087" s="24" t="str">
        <f t="shared" si="30"/>
        <v>175DE05B</v>
      </c>
      <c r="K1087" s="24" t="str">
        <f t="shared" si="30"/>
        <v>6097D4FB</v>
      </c>
      <c r="L1087" s="24" t="str">
        <f t="shared" si="30"/>
        <v>679342B3</v>
      </c>
    </row>
    <row r="1089" spans="1:11" x14ac:dyDescent="0.25">
      <c r="A1089" s="7" t="s">
        <v>363</v>
      </c>
      <c r="B1089" s="7"/>
      <c r="C1089" s="28" t="s">
        <v>223</v>
      </c>
      <c r="D1089" s="26" t="s">
        <v>183</v>
      </c>
      <c r="E1089" s="8" t="s">
        <v>365</v>
      </c>
      <c r="F1089" s="26" t="s">
        <v>183</v>
      </c>
      <c r="G1089" s="8" t="s">
        <v>366</v>
      </c>
      <c r="H1089" s="26" t="s">
        <v>183</v>
      </c>
      <c r="I1089" s="8" t="s">
        <v>367</v>
      </c>
      <c r="J1089" s="26" t="s">
        <v>183</v>
      </c>
      <c r="K1089" s="8" t="s">
        <v>368</v>
      </c>
    </row>
    <row r="1090" spans="1:11" x14ac:dyDescent="0.25">
      <c r="A1090" s="7"/>
    </row>
    <row r="1091" spans="1:11" x14ac:dyDescent="0.25">
      <c r="A1091" s="7"/>
      <c r="C1091" s="27" t="str">
        <f>L1087</f>
        <v>679342B3</v>
      </c>
      <c r="E1091" t="str" cm="1">
        <f t="array" ref="E1091">BSIG1_H(I1087)</f>
        <v>79C80708</v>
      </c>
      <c r="G1091" t="str" cm="1">
        <f t="array" ref="G1091">CH_H(I1087,J1087,K1087)</f>
        <v>549DE0DB</v>
      </c>
      <c r="I1091" t="str" cm="1">
        <f t="array" ref="I1091">INDEX(Folha3!$C$15:$J$22,IF(MOD(E1085,8)=0,0,1)+INT(E1085/8),1+MOD(E1085-1,8))</f>
        <v>06ca6351</v>
      </c>
      <c r="K1091" t="str" cm="1">
        <f t="array" ref="K1091">INDEX(Folha3!$C$38:$BN$38,1,E1085)</f>
        <v>02248C91</v>
      </c>
    </row>
    <row r="1092" spans="1:11" x14ac:dyDescent="0.25">
      <c r="A1092" s="7" t="s">
        <v>370</v>
      </c>
      <c r="C1092" s="27" t="str" cm="1">
        <f t="array" ref="C1092">HexToBits(C1091)</f>
        <v>01100111100100110100001010110011</v>
      </c>
      <c r="E1092" t="str" cm="1">
        <f t="array" ref="E1092">HexToBits(E1091)</f>
        <v>01111001110010000000011100001000</v>
      </c>
      <c r="G1092" t="str" cm="1">
        <f t="array" ref="G1092">HexToBits(G1091)</f>
        <v>01010100100111011110000011011011</v>
      </c>
      <c r="I1092" t="str" cm="1">
        <f t="array" ref="I1092">HexToBits(I1091)</f>
        <v>00000110110010100110001101010001</v>
      </c>
      <c r="K1092" t="str" cm="1">
        <f t="array" ref="K1092">HexToBits(K1091)</f>
        <v>00000010001001001000110010010001</v>
      </c>
    </row>
    <row r="1093" spans="1:11" x14ac:dyDescent="0.25">
      <c r="A1093" s="7"/>
    </row>
    <row r="1094" spans="1:11" x14ac:dyDescent="0.25">
      <c r="A1094" s="7" t="s">
        <v>364</v>
      </c>
      <c r="B1094" t="str">
        <f>_xlfn.BASE(
  (_xlfn.DECIMAL(C1092,2)+_xlfn.DECIMAL(E1092,2)+_xlfn.DECIMAL(G1092,2)+_xlfn.DECIMAL(I1092,2)+_xlfn.DECIMAL(K1092,2))
  - (INT((_xlfn.DECIMAL(C1092,2)+_xlfn.DECIMAL(E1092,2)+_xlfn.DECIMAL(G1092,2)+_xlfn.DECIMAL(I1092,2)+_xlfn.DECIMAL(K1092,2)) / 4294967296) * 4294967296),
  2,
  32
)</f>
        <v>00111110111010000001101001111000</v>
      </c>
    </row>
    <row r="1095" spans="1:11" x14ac:dyDescent="0.25">
      <c r="A1095" s="7" t="s">
        <v>369</v>
      </c>
      <c r="B1095" t="str" cm="1">
        <f t="array" ref="B1095">BitsToHex(B1094)</f>
        <v>3EE81A78</v>
      </c>
    </row>
    <row r="1098" spans="1:11" x14ac:dyDescent="0.25">
      <c r="A1098" s="7" t="s">
        <v>373</v>
      </c>
      <c r="B1098" s="7"/>
      <c r="C1098" s="29" t="s">
        <v>371</v>
      </c>
      <c r="D1098" s="26" t="s">
        <v>183</v>
      </c>
      <c r="E1098" s="8" t="s">
        <v>372</v>
      </c>
      <c r="J1098" s="32"/>
    </row>
    <row r="1099" spans="1:11" x14ac:dyDescent="0.25">
      <c r="A1099" s="7"/>
    </row>
    <row r="1100" spans="1:11" x14ac:dyDescent="0.25">
      <c r="A1100" s="7"/>
      <c r="C1100" s="27" t="str" cm="1">
        <f t="array" ref="C1100">BSIG0_H(E1087)</f>
        <v>34505DF0</v>
      </c>
      <c r="E1100" t="str" cm="1">
        <f t="array" ref="E1100">MAJ_H(E1087,F1087,G1087)</f>
        <v>2BDB2255</v>
      </c>
    </row>
    <row r="1101" spans="1:11" x14ac:dyDescent="0.25">
      <c r="A1101" s="7" t="s">
        <v>370</v>
      </c>
      <c r="C1101" s="27" t="str" cm="1">
        <f t="array" ref="C1101">HexToBits(C1100)</f>
        <v>00110100010100000101110111110000</v>
      </c>
      <c r="E1101" t="str" cm="1">
        <f t="array" ref="E1101">HexToBits(E1100)</f>
        <v>00101011110110110010001001010101</v>
      </c>
    </row>
    <row r="1102" spans="1:11" x14ac:dyDescent="0.25">
      <c r="A1102" s="7"/>
    </row>
    <row r="1103" spans="1:11" x14ac:dyDescent="0.25">
      <c r="A1103" s="7" t="s">
        <v>373</v>
      </c>
      <c r="B1103" t="str">
        <f>_xlfn.BASE(MOD(_xlfn.DECIMAL(C1101,2) + _xlfn.DECIMAL(E1101,2), 4294967296), 2, 32)</f>
        <v>01100000001010111000000001000101</v>
      </c>
    </row>
    <row r="1104" spans="1:11" x14ac:dyDescent="0.25">
      <c r="A1104" s="7" t="s">
        <v>369</v>
      </c>
      <c r="B1104" t="str" cm="1">
        <f t="array" ref="B1104">BitsToHex(B1103)</f>
        <v>602B8045</v>
      </c>
    </row>
    <row r="1105" spans="1:13" x14ac:dyDescent="0.25">
      <c r="A1105" s="7"/>
    </row>
    <row r="1106" spans="1:13" x14ac:dyDescent="0.25">
      <c r="A1106" s="7" t="s">
        <v>374</v>
      </c>
      <c r="C1106" s="28" t="s">
        <v>31</v>
      </c>
      <c r="D1106" s="26" t="s">
        <v>183</v>
      </c>
      <c r="E1106" s="7" t="s">
        <v>227</v>
      </c>
    </row>
    <row r="1107" spans="1:13" x14ac:dyDescent="0.25">
      <c r="A1107" s="7"/>
      <c r="C1107" s="28"/>
      <c r="D1107" s="26"/>
      <c r="E1107" s="7"/>
      <c r="L1107" s="16"/>
    </row>
    <row r="1108" spans="1:13" x14ac:dyDescent="0.25">
      <c r="C1108" s="27" t="str" cm="1">
        <f t="array" ref="C1108">HexToBits(H1087)</f>
        <v>01011001001101110100010110011100</v>
      </c>
      <c r="D1108" s="26"/>
      <c r="E1108" t="str">
        <f>B1094</f>
        <v>00111110111010000001101001111000</v>
      </c>
    </row>
    <row r="1109" spans="1:13" x14ac:dyDescent="0.25">
      <c r="A1109" s="7" t="s">
        <v>374</v>
      </c>
      <c r="B1109" t="str">
        <f>_xlfn.BASE(MOD(_xlfn.DECIMAL(C1108,2) + _xlfn.DECIMAL(E1108,2), 4294967296), 2, 32)</f>
        <v>10011000000111110110000000010100</v>
      </c>
      <c r="D1109" s="16"/>
    </row>
    <row r="1110" spans="1:13" x14ac:dyDescent="0.25">
      <c r="A1110" s="7" t="s">
        <v>375</v>
      </c>
      <c r="B1110" t="str" cm="1">
        <f t="array" ref="B1110">BitsToHex(B1109)</f>
        <v>981F6014</v>
      </c>
      <c r="C1110" s="28"/>
      <c r="D1110" s="26"/>
      <c r="E1110" s="7"/>
    </row>
    <row r="1111" spans="1:13" x14ac:dyDescent="0.25">
      <c r="A1111" s="7"/>
      <c r="C1111" s="28"/>
      <c r="D1111" s="26"/>
      <c r="E1111" s="7"/>
    </row>
    <row r="1112" spans="1:13" x14ac:dyDescent="0.25">
      <c r="A1112" s="7" t="s">
        <v>376</v>
      </c>
      <c r="C1112" s="28" t="s">
        <v>377</v>
      </c>
      <c r="D1112" s="26" t="s">
        <v>183</v>
      </c>
      <c r="E1112" s="7" t="s">
        <v>378</v>
      </c>
    </row>
    <row r="1113" spans="1:13" x14ac:dyDescent="0.25">
      <c r="A1113" s="7"/>
      <c r="C1113" s="27" t="str">
        <f>B1094</f>
        <v>00111110111010000001101001111000</v>
      </c>
      <c r="D1113" s="16"/>
      <c r="E1113" t="str">
        <f>B1103</f>
        <v>01100000001010111000000001000101</v>
      </c>
    </row>
    <row r="1114" spans="1:13" x14ac:dyDescent="0.25">
      <c r="A1114" s="7"/>
      <c r="C1114" s="28"/>
      <c r="D1114" s="26"/>
      <c r="E1114" s="7"/>
    </row>
    <row r="1115" spans="1:13" x14ac:dyDescent="0.25">
      <c r="A1115" s="7" t="s">
        <v>376</v>
      </c>
      <c r="B1115" t="str">
        <f>_xlfn.BASE(MOD(_xlfn.DECIMAL(C1113,2) + _xlfn.DECIMAL(E1113,2), 4294967296), 2, 32)</f>
        <v>10011111000100111001101010111101</v>
      </c>
      <c r="C1115" s="28"/>
      <c r="D1115" s="26"/>
      <c r="E1115" s="7"/>
    </row>
    <row r="1116" spans="1:13" x14ac:dyDescent="0.25">
      <c r="A1116" s="7" t="s">
        <v>375</v>
      </c>
      <c r="B1116" t="str" cm="1">
        <f t="array" ref="B1116">BitsToHex(B1115)</f>
        <v>9F139ABD</v>
      </c>
    </row>
    <row r="1118" spans="1:13" x14ac:dyDescent="0.25">
      <c r="C1118" s="27" t="s">
        <v>225</v>
      </c>
      <c r="E1118" s="24" t="s">
        <v>8</v>
      </c>
      <c r="F1118" s="24" t="s">
        <v>29</v>
      </c>
      <c r="G1118" s="24" t="s">
        <v>30</v>
      </c>
      <c r="H1118" s="24" t="s">
        <v>31</v>
      </c>
      <c r="I1118" s="24" t="s">
        <v>221</v>
      </c>
      <c r="J1118" s="24" t="s">
        <v>222</v>
      </c>
      <c r="K1118" s="24" t="s">
        <v>34</v>
      </c>
      <c r="L1118" s="24" t="s">
        <v>223</v>
      </c>
    </row>
    <row r="1119" spans="1:13" x14ac:dyDescent="0.25">
      <c r="E1119" s="24" t="str">
        <f>B1116</f>
        <v>9F139ABD</v>
      </c>
      <c r="F1119" s="24" t="str">
        <f>E1087</f>
        <v>2B110751</v>
      </c>
      <c r="G1119" s="24" t="str">
        <f>F1087</f>
        <v>19FB224F</v>
      </c>
      <c r="H1119" s="24" t="str">
        <f>G1087</f>
        <v>62CAFA74</v>
      </c>
      <c r="I1119" s="24" t="str">
        <f>B1110</f>
        <v>981F6014</v>
      </c>
      <c r="J1119" s="25" t="str">
        <f>I1087</f>
        <v>340F3D74</v>
      </c>
      <c r="K1119" s="24" t="str">
        <f>J1087</f>
        <v>175DE05B</v>
      </c>
      <c r="L1119" s="24" t="str">
        <f>K1087</f>
        <v>6097D4FB</v>
      </c>
    </row>
    <row r="1120" spans="1:13" x14ac:dyDescent="0.25">
      <c r="A1120" s="2"/>
      <c r="B1120" s="2"/>
      <c r="C1120" s="30" t="s">
        <v>379</v>
      </c>
      <c r="D1120" s="2">
        <v>31</v>
      </c>
      <c r="E1120" s="2"/>
      <c r="F1120" s="2"/>
      <c r="G1120" s="2"/>
      <c r="H1120" s="2"/>
      <c r="I1120" s="2"/>
      <c r="J1120" s="2"/>
      <c r="K1120" s="2"/>
      <c r="L1120" s="2"/>
      <c r="M1120" s="2"/>
    </row>
    <row r="1121" spans="1:12" x14ac:dyDescent="0.25">
      <c r="D1121" t="s">
        <v>380</v>
      </c>
      <c r="E1121">
        <f>D1120+1</f>
        <v>32</v>
      </c>
    </row>
    <row r="1122" spans="1:12" x14ac:dyDescent="0.25">
      <c r="C1122" s="27" t="s">
        <v>224</v>
      </c>
      <c r="E1122" s="24" t="s">
        <v>8</v>
      </c>
      <c r="F1122" s="24" t="s">
        <v>29</v>
      </c>
      <c r="G1122" s="24" t="s">
        <v>30</v>
      </c>
      <c r="H1122" s="24" t="s">
        <v>31</v>
      </c>
      <c r="I1122" s="24" t="s">
        <v>221</v>
      </c>
      <c r="J1122" s="24" t="s">
        <v>222</v>
      </c>
      <c r="K1122" s="24" t="s">
        <v>34</v>
      </c>
      <c r="L1122" s="24" t="s">
        <v>223</v>
      </c>
    </row>
    <row r="1123" spans="1:12" x14ac:dyDescent="0.25">
      <c r="E1123" s="24" t="str">
        <f t="shared" ref="E1123:L1123" si="31">E1119</f>
        <v>9F139ABD</v>
      </c>
      <c r="F1123" s="24" t="str">
        <f t="shared" si="31"/>
        <v>2B110751</v>
      </c>
      <c r="G1123" s="24" t="str">
        <f t="shared" si="31"/>
        <v>19FB224F</v>
      </c>
      <c r="H1123" s="24" t="str">
        <f t="shared" si="31"/>
        <v>62CAFA74</v>
      </c>
      <c r="I1123" s="25" t="str">
        <f t="shared" si="31"/>
        <v>981F6014</v>
      </c>
      <c r="J1123" s="24" t="str">
        <f t="shared" si="31"/>
        <v>340F3D74</v>
      </c>
      <c r="K1123" s="24" t="str">
        <f t="shared" si="31"/>
        <v>175DE05B</v>
      </c>
      <c r="L1123" s="24" t="str">
        <f t="shared" si="31"/>
        <v>6097D4FB</v>
      </c>
    </row>
    <row r="1125" spans="1:12" x14ac:dyDescent="0.25">
      <c r="A1125" s="7" t="s">
        <v>363</v>
      </c>
      <c r="B1125" s="7"/>
      <c r="C1125" s="28" t="s">
        <v>223</v>
      </c>
      <c r="D1125" s="26" t="s">
        <v>183</v>
      </c>
      <c r="E1125" s="8" t="s">
        <v>365</v>
      </c>
      <c r="F1125" s="26" t="s">
        <v>183</v>
      </c>
      <c r="G1125" s="8" t="s">
        <v>366</v>
      </c>
      <c r="H1125" s="26" t="s">
        <v>183</v>
      </c>
      <c r="I1125" s="8" t="s">
        <v>367</v>
      </c>
      <c r="J1125" s="26" t="s">
        <v>183</v>
      </c>
      <c r="K1125" s="8" t="s">
        <v>368</v>
      </c>
    </row>
    <row r="1126" spans="1:12" x14ac:dyDescent="0.25">
      <c r="A1126" s="7"/>
    </row>
    <row r="1127" spans="1:12" x14ac:dyDescent="0.25">
      <c r="A1127" s="7"/>
      <c r="C1127" s="27" t="str">
        <f>L1123</f>
        <v>6097D4FB</v>
      </c>
      <c r="E1127" t="str" cm="1">
        <f t="array" ref="E1127">BSIG1_H(I1123)</f>
        <v>5F437420</v>
      </c>
      <c r="G1127" t="str" cm="1">
        <f t="array" ref="G1127">CH_H(I1123,J1123,K1123)</f>
        <v>174FA05F</v>
      </c>
      <c r="I1127" t="str" cm="1">
        <f t="array" ref="I1127">INDEX(Folha3!$C$15:$J$22,IF(MOD(E1121,8)=0,0,1)+INT(E1121/8),1+MOD(E1121-1,8))</f>
        <v>14292967</v>
      </c>
      <c r="K1127" t="str" cm="1">
        <f t="array" ref="K1127">INDEX(Folha3!$C$38:$BN$38,1,E1121)</f>
        <v>0EE7E349</v>
      </c>
    </row>
    <row r="1128" spans="1:12" x14ac:dyDescent="0.25">
      <c r="A1128" s="7" t="s">
        <v>370</v>
      </c>
      <c r="C1128" s="27" t="str" cm="1">
        <f t="array" ref="C1128">HexToBits(C1127)</f>
        <v>01100000100101111101010011111011</v>
      </c>
      <c r="E1128" t="str" cm="1">
        <f t="array" ref="E1128">HexToBits(E1127)</f>
        <v>01011111010000110111010000100000</v>
      </c>
      <c r="G1128" t="str" cm="1">
        <f t="array" ref="G1128">HexToBits(G1127)</f>
        <v>00010111010011111010000001011111</v>
      </c>
      <c r="I1128" t="str" cm="1">
        <f t="array" ref="I1128">HexToBits(I1127)</f>
        <v>00010100001010010010100101100111</v>
      </c>
      <c r="K1128" t="str" cm="1">
        <f t="array" ref="K1128">HexToBits(K1127)</f>
        <v>00001110111001111110001101001001</v>
      </c>
    </row>
    <row r="1129" spans="1:12" x14ac:dyDescent="0.25">
      <c r="A1129" s="7"/>
    </row>
    <row r="1130" spans="1:12" x14ac:dyDescent="0.25">
      <c r="A1130" s="7" t="s">
        <v>364</v>
      </c>
      <c r="B1130" t="str">
        <f>_xlfn.BASE(
  (_xlfn.DECIMAL(C1128,2)+_xlfn.DECIMAL(E1128,2)+_xlfn.DECIMAL(G1128,2)+_xlfn.DECIMAL(I1128,2)+_xlfn.DECIMAL(K1128,2))
  - (INT((_xlfn.DECIMAL(C1128,2)+_xlfn.DECIMAL(E1128,2)+_xlfn.DECIMAL(G1128,2)+_xlfn.DECIMAL(I1128,2)+_xlfn.DECIMAL(K1128,2)) / 4294967296) * 4294967296),
  2,
  32
)</f>
        <v>11111010001110111111011000101010</v>
      </c>
    </row>
    <row r="1131" spans="1:12" x14ac:dyDescent="0.25">
      <c r="A1131" s="7" t="s">
        <v>369</v>
      </c>
      <c r="B1131" t="str" cm="1">
        <f t="array" ref="B1131">BitsToHex(B1130)</f>
        <v>FA3BF62A</v>
      </c>
    </row>
    <row r="1134" spans="1:12" x14ac:dyDescent="0.25">
      <c r="A1134" s="7" t="s">
        <v>373</v>
      </c>
      <c r="B1134" s="7"/>
      <c r="C1134" s="29" t="s">
        <v>371</v>
      </c>
      <c r="D1134" s="26" t="s">
        <v>183</v>
      </c>
      <c r="E1134" s="8" t="s">
        <v>372</v>
      </c>
      <c r="J1134" s="32"/>
    </row>
    <row r="1135" spans="1:12" x14ac:dyDescent="0.25">
      <c r="A1135" s="7"/>
    </row>
    <row r="1136" spans="1:12" x14ac:dyDescent="0.25">
      <c r="A1136" s="7"/>
      <c r="C1136" s="27" t="str" cm="1">
        <f t="array" ref="C1136">BSIG0_H(E1123)</f>
        <v>FC42E84F</v>
      </c>
      <c r="E1136" t="str" cm="1">
        <f t="array" ref="E1136">MAJ_H(E1123,F1123,G1123)</f>
        <v>1B13025D</v>
      </c>
    </row>
    <row r="1137" spans="1:12" x14ac:dyDescent="0.25">
      <c r="A1137" s="7" t="s">
        <v>370</v>
      </c>
      <c r="C1137" s="27" t="str" cm="1">
        <f t="array" ref="C1137">HexToBits(C1136)</f>
        <v>11111100010000101110100001001111</v>
      </c>
      <c r="E1137" t="str" cm="1">
        <f t="array" ref="E1137">HexToBits(E1136)</f>
        <v>00011011000100110000001001011101</v>
      </c>
    </row>
    <row r="1138" spans="1:12" x14ac:dyDescent="0.25">
      <c r="A1138" s="7"/>
    </row>
    <row r="1139" spans="1:12" x14ac:dyDescent="0.25">
      <c r="A1139" s="7" t="s">
        <v>373</v>
      </c>
      <c r="B1139" t="str">
        <f>_xlfn.BASE(MOD(_xlfn.DECIMAL(C1137,2) + _xlfn.DECIMAL(E1137,2), 4294967296), 2, 32)</f>
        <v>00010111010101011110101010101100</v>
      </c>
    </row>
    <row r="1140" spans="1:12" x14ac:dyDescent="0.25">
      <c r="A1140" s="7" t="s">
        <v>369</v>
      </c>
      <c r="B1140" t="str" cm="1">
        <f t="array" ref="B1140">BitsToHex(B1139)</f>
        <v>1755EAAC</v>
      </c>
    </row>
    <row r="1141" spans="1:12" x14ac:dyDescent="0.25">
      <c r="A1141" s="7"/>
    </row>
    <row r="1142" spans="1:12" x14ac:dyDescent="0.25">
      <c r="A1142" s="7" t="s">
        <v>374</v>
      </c>
      <c r="C1142" s="28" t="s">
        <v>31</v>
      </c>
      <c r="D1142" s="26" t="s">
        <v>183</v>
      </c>
      <c r="E1142" s="7" t="s">
        <v>227</v>
      </c>
    </row>
    <row r="1143" spans="1:12" x14ac:dyDescent="0.25">
      <c r="A1143" s="7"/>
      <c r="C1143" s="28"/>
      <c r="D1143" s="26"/>
      <c r="E1143" s="7"/>
      <c r="L1143" s="16"/>
    </row>
    <row r="1144" spans="1:12" x14ac:dyDescent="0.25">
      <c r="C1144" s="27" t="str" cm="1">
        <f t="array" ref="C1144">HexToBits(H1123)</f>
        <v>01100010110010101111101001110100</v>
      </c>
      <c r="D1144" s="26"/>
      <c r="E1144" t="str">
        <f>B1130</f>
        <v>11111010001110111111011000101010</v>
      </c>
    </row>
    <row r="1145" spans="1:12" x14ac:dyDescent="0.25">
      <c r="A1145" s="7" t="s">
        <v>374</v>
      </c>
      <c r="B1145" t="str">
        <f>_xlfn.BASE(MOD(_xlfn.DECIMAL(C1144,2) + _xlfn.DECIMAL(E1144,2), 4294967296), 2, 32)</f>
        <v>01011101000001101111000010011110</v>
      </c>
      <c r="D1145" s="16"/>
    </row>
    <row r="1146" spans="1:12" x14ac:dyDescent="0.25">
      <c r="A1146" s="7" t="s">
        <v>375</v>
      </c>
      <c r="B1146" t="str" cm="1">
        <f t="array" ref="B1146">BitsToHex(B1145)</f>
        <v>5D06F09E</v>
      </c>
      <c r="C1146" s="28"/>
      <c r="D1146" s="26"/>
      <c r="E1146" s="7"/>
    </row>
    <row r="1147" spans="1:12" x14ac:dyDescent="0.25">
      <c r="A1147" s="7"/>
      <c r="C1147" s="28"/>
      <c r="D1147" s="26"/>
      <c r="E1147" s="7"/>
    </row>
    <row r="1148" spans="1:12" x14ac:dyDescent="0.25">
      <c r="A1148" s="7" t="s">
        <v>376</v>
      </c>
      <c r="C1148" s="28" t="s">
        <v>377</v>
      </c>
      <c r="D1148" s="26" t="s">
        <v>183</v>
      </c>
      <c r="E1148" s="7" t="s">
        <v>378</v>
      </c>
    </row>
    <row r="1149" spans="1:12" x14ac:dyDescent="0.25">
      <c r="A1149" s="7"/>
      <c r="C1149" s="27" t="str">
        <f>B1130</f>
        <v>11111010001110111111011000101010</v>
      </c>
      <c r="D1149" s="16"/>
      <c r="E1149" t="str">
        <f>B1139</f>
        <v>00010111010101011110101010101100</v>
      </c>
    </row>
    <row r="1150" spans="1:12" x14ac:dyDescent="0.25">
      <c r="A1150" s="7"/>
      <c r="C1150" s="28"/>
      <c r="D1150" s="26"/>
      <c r="E1150" s="7"/>
    </row>
    <row r="1151" spans="1:12" x14ac:dyDescent="0.25">
      <c r="A1151" s="7" t="s">
        <v>376</v>
      </c>
      <c r="B1151" t="str">
        <f>_xlfn.BASE(MOD(_xlfn.DECIMAL(C1149,2) + _xlfn.DECIMAL(E1149,2), 4294967296), 2, 32)</f>
        <v>00010001100100011110000011010110</v>
      </c>
      <c r="C1151" s="28"/>
      <c r="D1151" s="26"/>
      <c r="E1151" s="7"/>
    </row>
    <row r="1152" spans="1:12" x14ac:dyDescent="0.25">
      <c r="A1152" s="7" t="s">
        <v>375</v>
      </c>
      <c r="B1152" t="str" cm="1">
        <f t="array" ref="B1152">BitsToHex(B1151)</f>
        <v>1191E0D6</v>
      </c>
    </row>
    <row r="1154" spans="1:13" x14ac:dyDescent="0.25">
      <c r="C1154" s="27" t="s">
        <v>225</v>
      </c>
      <c r="E1154" s="24" t="s">
        <v>8</v>
      </c>
      <c r="F1154" s="24" t="s">
        <v>29</v>
      </c>
      <c r="G1154" s="24" t="s">
        <v>30</v>
      </c>
      <c r="H1154" s="24" t="s">
        <v>31</v>
      </c>
      <c r="I1154" s="24" t="s">
        <v>221</v>
      </c>
      <c r="J1154" s="24" t="s">
        <v>222</v>
      </c>
      <c r="K1154" s="24" t="s">
        <v>34</v>
      </c>
      <c r="L1154" s="24" t="s">
        <v>223</v>
      </c>
    </row>
    <row r="1155" spans="1:13" x14ac:dyDescent="0.25">
      <c r="E1155" s="24" t="str">
        <f>B1152</f>
        <v>1191E0D6</v>
      </c>
      <c r="F1155" s="24" t="str">
        <f>E1123</f>
        <v>9F139ABD</v>
      </c>
      <c r="G1155" s="24" t="str">
        <f>F1123</f>
        <v>2B110751</v>
      </c>
      <c r="H1155" s="24" t="str">
        <f>G1123</f>
        <v>19FB224F</v>
      </c>
      <c r="I1155" s="24" t="str">
        <f>B1146</f>
        <v>5D06F09E</v>
      </c>
      <c r="J1155" s="25" t="str">
        <f>I1123</f>
        <v>981F6014</v>
      </c>
      <c r="K1155" s="24" t="str">
        <f>J1123</f>
        <v>340F3D74</v>
      </c>
      <c r="L1155" s="24" t="str">
        <f>K1123</f>
        <v>175DE05B</v>
      </c>
    </row>
    <row r="1156" spans="1:13" x14ac:dyDescent="0.25">
      <c r="A1156" s="2"/>
      <c r="B1156" s="2"/>
      <c r="C1156" s="30" t="s">
        <v>379</v>
      </c>
      <c r="D1156" s="2">
        <v>32</v>
      </c>
      <c r="E1156" s="2"/>
      <c r="F1156" s="2"/>
      <c r="G1156" s="2"/>
      <c r="H1156" s="2"/>
      <c r="I1156" s="2"/>
      <c r="J1156" s="2"/>
      <c r="K1156" s="2"/>
      <c r="L1156" s="2"/>
      <c r="M1156" s="2"/>
    </row>
    <row r="1157" spans="1:13" x14ac:dyDescent="0.25">
      <c r="D1157" t="s">
        <v>380</v>
      </c>
      <c r="E1157">
        <f>D1156+1</f>
        <v>33</v>
      </c>
    </row>
    <row r="1158" spans="1:13" x14ac:dyDescent="0.25">
      <c r="C1158" s="27" t="s">
        <v>224</v>
      </c>
      <c r="E1158" s="24" t="s">
        <v>8</v>
      </c>
      <c r="F1158" s="24" t="s">
        <v>29</v>
      </c>
      <c r="G1158" s="24" t="s">
        <v>30</v>
      </c>
      <c r="H1158" s="24" t="s">
        <v>31</v>
      </c>
      <c r="I1158" s="24" t="s">
        <v>221</v>
      </c>
      <c r="J1158" s="24" t="s">
        <v>222</v>
      </c>
      <c r="K1158" s="24" t="s">
        <v>34</v>
      </c>
      <c r="L1158" s="24" t="s">
        <v>223</v>
      </c>
    </row>
    <row r="1159" spans="1:13" x14ac:dyDescent="0.25">
      <c r="E1159" s="24" t="str">
        <f t="shared" ref="E1159:L1159" si="32">E1155</f>
        <v>1191E0D6</v>
      </c>
      <c r="F1159" s="24" t="str">
        <f t="shared" si="32"/>
        <v>9F139ABD</v>
      </c>
      <c r="G1159" s="24" t="str">
        <f t="shared" si="32"/>
        <v>2B110751</v>
      </c>
      <c r="H1159" s="24" t="str">
        <f t="shared" si="32"/>
        <v>19FB224F</v>
      </c>
      <c r="I1159" s="25" t="str">
        <f t="shared" si="32"/>
        <v>5D06F09E</v>
      </c>
      <c r="J1159" s="24" t="str">
        <f t="shared" si="32"/>
        <v>981F6014</v>
      </c>
      <c r="K1159" s="24" t="str">
        <f t="shared" si="32"/>
        <v>340F3D74</v>
      </c>
      <c r="L1159" s="24" t="str">
        <f t="shared" si="32"/>
        <v>175DE05B</v>
      </c>
    </row>
    <row r="1161" spans="1:13" x14ac:dyDescent="0.25">
      <c r="A1161" s="7" t="s">
        <v>363</v>
      </c>
      <c r="B1161" s="7"/>
      <c r="C1161" s="28" t="s">
        <v>223</v>
      </c>
      <c r="D1161" s="26" t="s">
        <v>183</v>
      </c>
      <c r="E1161" s="8" t="s">
        <v>365</v>
      </c>
      <c r="F1161" s="26" t="s">
        <v>183</v>
      </c>
      <c r="G1161" s="8" t="s">
        <v>366</v>
      </c>
      <c r="H1161" s="26" t="s">
        <v>183</v>
      </c>
      <c r="I1161" s="8" t="s">
        <v>367</v>
      </c>
      <c r="J1161" s="26" t="s">
        <v>183</v>
      </c>
      <c r="K1161" s="8" t="s">
        <v>368</v>
      </c>
    </row>
    <row r="1162" spans="1:13" x14ac:dyDescent="0.25">
      <c r="A1162" s="7"/>
    </row>
    <row r="1163" spans="1:13" x14ac:dyDescent="0.25">
      <c r="A1163" s="7"/>
      <c r="C1163" s="27" t="str">
        <f>L1159</f>
        <v>175DE05B</v>
      </c>
      <c r="E1163" t="str" cm="1">
        <f t="array" ref="E1163">BSIG1_H(I1159)</f>
        <v>E9C7F432</v>
      </c>
      <c r="G1163" t="str" cm="1">
        <f t="array" ref="G1163">CH_H(I1159,J1159,K1159)</f>
        <v>380F6D74</v>
      </c>
      <c r="I1163" t="str" cm="1">
        <f t="array" ref="I1163">INDEX(Folha3!$C$15:$J$22,IF(MOD(E1157,8)=0,0,1)+INT(E1157/8),1+MOD(E1157-1,8))</f>
        <v>27b70a85</v>
      </c>
      <c r="K1163" t="str" cm="1">
        <f t="array" ref="K1163">INDEX(Folha3!$C$38:$BN$38,1,E1157)</f>
        <v>29E393E5</v>
      </c>
    </row>
    <row r="1164" spans="1:13" x14ac:dyDescent="0.25">
      <c r="A1164" s="7" t="s">
        <v>370</v>
      </c>
      <c r="C1164" s="27" t="str" cm="1">
        <f t="array" ref="C1164">HexToBits(C1163)</f>
        <v>00010111010111011110000001011011</v>
      </c>
      <c r="E1164" t="str" cm="1">
        <f t="array" ref="E1164">HexToBits(E1163)</f>
        <v>11101001110001111111010000110010</v>
      </c>
      <c r="G1164" t="str" cm="1">
        <f t="array" ref="G1164">HexToBits(G1163)</f>
        <v>00111000000011110110110101110100</v>
      </c>
      <c r="I1164" t="str" cm="1">
        <f t="array" ref="I1164">HexToBits(I1163)</f>
        <v>00100111101101110000101010000101</v>
      </c>
      <c r="K1164" t="str" cm="1">
        <f t="array" ref="K1164">HexToBits(K1163)</f>
        <v>00101001111000111001001111100101</v>
      </c>
    </row>
    <row r="1165" spans="1:13" x14ac:dyDescent="0.25">
      <c r="A1165" s="7"/>
    </row>
    <row r="1166" spans="1:13" x14ac:dyDescent="0.25">
      <c r="A1166" s="7" t="s">
        <v>364</v>
      </c>
      <c r="B1166" t="str">
        <f>_xlfn.BASE(
  (_xlfn.DECIMAL(C1164,2)+_xlfn.DECIMAL(E1164,2)+_xlfn.DECIMAL(G1164,2)+_xlfn.DECIMAL(I1164,2)+_xlfn.DECIMAL(K1164,2))
  - (INT((_xlfn.DECIMAL(C1164,2)+_xlfn.DECIMAL(E1164,2)+_xlfn.DECIMAL(G1164,2)+_xlfn.DECIMAL(I1164,2)+_xlfn.DECIMAL(K1164,2)) / 4294967296) * 4294967296),
  2,
  32
)</f>
        <v>10001010110011111110000001101011</v>
      </c>
    </row>
    <row r="1167" spans="1:13" x14ac:dyDescent="0.25">
      <c r="A1167" s="7" t="s">
        <v>369</v>
      </c>
      <c r="B1167" t="str" cm="1">
        <f t="array" ref="B1167">BitsToHex(B1166)</f>
        <v>8ACFE06B</v>
      </c>
    </row>
    <row r="1170" spans="1:12" x14ac:dyDescent="0.25">
      <c r="A1170" s="7" t="s">
        <v>373</v>
      </c>
      <c r="B1170" s="7"/>
      <c r="C1170" s="29" t="s">
        <v>371</v>
      </c>
      <c r="D1170" s="26" t="s">
        <v>183</v>
      </c>
      <c r="E1170" s="8" t="s">
        <v>372</v>
      </c>
      <c r="J1170" s="32"/>
    </row>
    <row r="1171" spans="1:12" x14ac:dyDescent="0.25">
      <c r="A1171" s="7"/>
    </row>
    <row r="1172" spans="1:12" x14ac:dyDescent="0.25">
      <c r="A1172" s="7"/>
      <c r="C1172" s="27" t="str" cm="1">
        <f t="array" ref="C1172">BSIG0_H(E1159)</f>
        <v>C557ACFC</v>
      </c>
      <c r="E1172" t="str" cm="1">
        <f t="array" ref="E1172">MAJ_H(E1159,F1159,G1159)</f>
        <v>1B1182D5</v>
      </c>
    </row>
    <row r="1173" spans="1:12" x14ac:dyDescent="0.25">
      <c r="A1173" s="7" t="s">
        <v>370</v>
      </c>
      <c r="C1173" s="27" t="str" cm="1">
        <f t="array" ref="C1173">HexToBits(C1172)</f>
        <v>11000101010101111010110011111100</v>
      </c>
      <c r="E1173" t="str" cm="1">
        <f t="array" ref="E1173">HexToBits(E1172)</f>
        <v>00011011000100011000001011010101</v>
      </c>
    </row>
    <row r="1174" spans="1:12" x14ac:dyDescent="0.25">
      <c r="A1174" s="7"/>
    </row>
    <row r="1175" spans="1:12" x14ac:dyDescent="0.25">
      <c r="A1175" s="7" t="s">
        <v>373</v>
      </c>
      <c r="B1175" t="str">
        <f>_xlfn.BASE(MOD(_xlfn.DECIMAL(C1173,2) + _xlfn.DECIMAL(E1173,2), 4294967296), 2, 32)</f>
        <v>11100000011010010010111111010001</v>
      </c>
    </row>
    <row r="1176" spans="1:12" x14ac:dyDescent="0.25">
      <c r="A1176" s="7" t="s">
        <v>369</v>
      </c>
      <c r="B1176" t="str" cm="1">
        <f t="array" ref="B1176">BitsToHex(B1175)</f>
        <v>E0692FD1</v>
      </c>
    </row>
    <row r="1177" spans="1:12" x14ac:dyDescent="0.25">
      <c r="A1177" s="7"/>
    </row>
    <row r="1178" spans="1:12" x14ac:dyDescent="0.25">
      <c r="A1178" s="7" t="s">
        <v>374</v>
      </c>
      <c r="C1178" s="28" t="s">
        <v>31</v>
      </c>
      <c r="D1178" s="26" t="s">
        <v>183</v>
      </c>
      <c r="E1178" s="7" t="s">
        <v>227</v>
      </c>
    </row>
    <row r="1179" spans="1:12" x14ac:dyDescent="0.25">
      <c r="A1179" s="7"/>
      <c r="C1179" s="28"/>
      <c r="D1179" s="26"/>
      <c r="E1179" s="7"/>
      <c r="L1179" s="16"/>
    </row>
    <row r="1180" spans="1:12" x14ac:dyDescent="0.25">
      <c r="C1180" s="27" t="str" cm="1">
        <f t="array" ref="C1180">HexToBits(H1159)</f>
        <v>00011001111110110010001001001111</v>
      </c>
      <c r="D1180" s="26"/>
      <c r="E1180" t="str">
        <f>B1166</f>
        <v>10001010110011111110000001101011</v>
      </c>
    </row>
    <row r="1181" spans="1:12" x14ac:dyDescent="0.25">
      <c r="A1181" s="7" t="s">
        <v>374</v>
      </c>
      <c r="B1181" t="str">
        <f>_xlfn.BASE(MOD(_xlfn.DECIMAL(C1180,2) + _xlfn.DECIMAL(E1180,2), 4294967296), 2, 32)</f>
        <v>10100100110010110000001010111010</v>
      </c>
      <c r="D1181" s="16"/>
    </row>
    <row r="1182" spans="1:12" x14ac:dyDescent="0.25">
      <c r="A1182" s="7" t="s">
        <v>375</v>
      </c>
      <c r="B1182" t="str" cm="1">
        <f t="array" ref="B1182">BitsToHex(B1181)</f>
        <v>A4CB02BA</v>
      </c>
      <c r="C1182" s="28"/>
      <c r="D1182" s="26"/>
      <c r="E1182" s="7"/>
    </row>
    <row r="1183" spans="1:12" x14ac:dyDescent="0.25">
      <c r="A1183" s="7"/>
      <c r="C1183" s="28"/>
      <c r="D1183" s="26"/>
      <c r="E1183" s="7"/>
    </row>
    <row r="1184" spans="1:12" x14ac:dyDescent="0.25">
      <c r="A1184" s="7" t="s">
        <v>376</v>
      </c>
      <c r="C1184" s="28" t="s">
        <v>377</v>
      </c>
      <c r="D1184" s="26" t="s">
        <v>183</v>
      </c>
      <c r="E1184" s="7" t="s">
        <v>378</v>
      </c>
    </row>
    <row r="1185" spans="1:13" x14ac:dyDescent="0.25">
      <c r="A1185" s="7"/>
      <c r="C1185" s="27" t="str">
        <f>B1166</f>
        <v>10001010110011111110000001101011</v>
      </c>
      <c r="D1185" s="16"/>
      <c r="E1185" t="str">
        <f>B1175</f>
        <v>11100000011010010010111111010001</v>
      </c>
    </row>
    <row r="1186" spans="1:13" x14ac:dyDescent="0.25">
      <c r="A1186" s="7"/>
      <c r="C1186" s="28"/>
      <c r="D1186" s="26"/>
      <c r="E1186" s="7"/>
    </row>
    <row r="1187" spans="1:13" x14ac:dyDescent="0.25">
      <c r="A1187" s="7" t="s">
        <v>376</v>
      </c>
      <c r="B1187" t="str">
        <f>_xlfn.BASE(MOD(_xlfn.DECIMAL(C1185,2) + _xlfn.DECIMAL(E1185,2), 4294967296), 2, 32)</f>
        <v>01101011001110010001000000111100</v>
      </c>
      <c r="C1187" s="28"/>
      <c r="D1187" s="26"/>
      <c r="E1187" s="7"/>
    </row>
    <row r="1188" spans="1:13" x14ac:dyDescent="0.25">
      <c r="A1188" s="7" t="s">
        <v>375</v>
      </c>
      <c r="B1188" t="str" cm="1">
        <f t="array" ref="B1188">BitsToHex(B1187)</f>
        <v>6B39103C</v>
      </c>
    </row>
    <row r="1190" spans="1:13" x14ac:dyDescent="0.25">
      <c r="C1190" s="27" t="s">
        <v>225</v>
      </c>
      <c r="E1190" s="24" t="s">
        <v>8</v>
      </c>
      <c r="F1190" s="24" t="s">
        <v>29</v>
      </c>
      <c r="G1190" s="24" t="s">
        <v>30</v>
      </c>
      <c r="H1190" s="24" t="s">
        <v>31</v>
      </c>
      <c r="I1190" s="24" t="s">
        <v>221</v>
      </c>
      <c r="J1190" s="24" t="s">
        <v>222</v>
      </c>
      <c r="K1190" s="24" t="s">
        <v>34</v>
      </c>
      <c r="L1190" s="24" t="s">
        <v>223</v>
      </c>
    </row>
    <row r="1191" spans="1:13" x14ac:dyDescent="0.25">
      <c r="E1191" s="24" t="str">
        <f>B1188</f>
        <v>6B39103C</v>
      </c>
      <c r="F1191" s="24" t="str">
        <f>E1159</f>
        <v>1191E0D6</v>
      </c>
      <c r="G1191" s="24" t="str">
        <f>F1159</f>
        <v>9F139ABD</v>
      </c>
      <c r="H1191" s="24" t="str">
        <f>G1159</f>
        <v>2B110751</v>
      </c>
      <c r="I1191" s="24" t="str">
        <f>B1182</f>
        <v>A4CB02BA</v>
      </c>
      <c r="J1191" s="25" t="str">
        <f>I1159</f>
        <v>5D06F09E</v>
      </c>
      <c r="K1191" s="24" t="str">
        <f>J1159</f>
        <v>981F6014</v>
      </c>
      <c r="L1191" s="24" t="str">
        <f>K1159</f>
        <v>340F3D74</v>
      </c>
    </row>
    <row r="1192" spans="1:13" x14ac:dyDescent="0.25">
      <c r="A1192" s="2"/>
      <c r="B1192" s="2"/>
      <c r="C1192" s="30" t="s">
        <v>379</v>
      </c>
      <c r="D1192" s="2">
        <v>33</v>
      </c>
      <c r="E1192" s="2"/>
      <c r="F1192" s="2"/>
      <c r="G1192" s="2"/>
      <c r="H1192" s="2"/>
      <c r="I1192" s="2"/>
      <c r="J1192" s="2"/>
      <c r="K1192" s="2"/>
      <c r="L1192" s="2"/>
      <c r="M1192" s="2"/>
    </row>
    <row r="1193" spans="1:13" x14ac:dyDescent="0.25">
      <c r="D1193" t="s">
        <v>380</v>
      </c>
      <c r="E1193">
        <f>D1192+1</f>
        <v>34</v>
      </c>
    </row>
    <row r="1194" spans="1:13" x14ac:dyDescent="0.25">
      <c r="C1194" s="27" t="s">
        <v>224</v>
      </c>
      <c r="E1194" s="24" t="s">
        <v>8</v>
      </c>
      <c r="F1194" s="24" t="s">
        <v>29</v>
      </c>
      <c r="G1194" s="24" t="s">
        <v>30</v>
      </c>
      <c r="H1194" s="24" t="s">
        <v>31</v>
      </c>
      <c r="I1194" s="24" t="s">
        <v>221</v>
      </c>
      <c r="J1194" s="24" t="s">
        <v>222</v>
      </c>
      <c r="K1194" s="24" t="s">
        <v>34</v>
      </c>
      <c r="L1194" s="24" t="s">
        <v>223</v>
      </c>
    </row>
    <row r="1195" spans="1:13" x14ac:dyDescent="0.25">
      <c r="E1195" s="24" t="str">
        <f t="shared" ref="E1195:L1195" si="33">E1191</f>
        <v>6B39103C</v>
      </c>
      <c r="F1195" s="24" t="str">
        <f t="shared" si="33"/>
        <v>1191E0D6</v>
      </c>
      <c r="G1195" s="24" t="str">
        <f t="shared" si="33"/>
        <v>9F139ABD</v>
      </c>
      <c r="H1195" s="24" t="str">
        <f t="shared" si="33"/>
        <v>2B110751</v>
      </c>
      <c r="I1195" s="25" t="str">
        <f t="shared" si="33"/>
        <v>A4CB02BA</v>
      </c>
      <c r="J1195" s="24" t="str">
        <f t="shared" si="33"/>
        <v>5D06F09E</v>
      </c>
      <c r="K1195" s="24" t="str">
        <f t="shared" si="33"/>
        <v>981F6014</v>
      </c>
      <c r="L1195" s="24" t="str">
        <f t="shared" si="33"/>
        <v>340F3D74</v>
      </c>
    </row>
    <row r="1197" spans="1:13" x14ac:dyDescent="0.25">
      <c r="A1197" s="7" t="s">
        <v>363</v>
      </c>
      <c r="B1197" s="7"/>
      <c r="C1197" s="28" t="s">
        <v>223</v>
      </c>
      <c r="D1197" s="26" t="s">
        <v>183</v>
      </c>
      <c r="E1197" s="8" t="s">
        <v>365</v>
      </c>
      <c r="F1197" s="26" t="s">
        <v>183</v>
      </c>
      <c r="G1197" s="8" t="s">
        <v>366</v>
      </c>
      <c r="H1197" s="26" t="s">
        <v>183</v>
      </c>
      <c r="I1197" s="8" t="s">
        <v>367</v>
      </c>
      <c r="J1197" s="26" t="s">
        <v>183</v>
      </c>
      <c r="K1197" s="8" t="s">
        <v>368</v>
      </c>
    </row>
    <row r="1198" spans="1:13" x14ac:dyDescent="0.25">
      <c r="A1198" s="7"/>
    </row>
    <row r="1199" spans="1:13" x14ac:dyDescent="0.25">
      <c r="A1199" s="7"/>
      <c r="C1199" s="27" t="str">
        <f>L1195</f>
        <v>340F3D74</v>
      </c>
      <c r="E1199" t="str" cm="1">
        <f t="array" ref="E1199">BSIG1_H(I1195)</f>
        <v>D846E838</v>
      </c>
      <c r="G1199" t="str" cm="1">
        <f t="array" ref="G1199">CH_H(I1195,J1195,K1195)</f>
        <v>1C16609E</v>
      </c>
      <c r="I1199" t="str" cm="1">
        <f t="array" ref="I1199">INDEX(Folha3!$C$15:$J$22,IF(MOD(E1193,8)=0,0,1)+INT(E1193/8),1+MOD(E1193-1,8))</f>
        <v>2e1b2138</v>
      </c>
      <c r="K1199" t="str" cm="1">
        <f t="array" ref="K1199">INDEX(Folha3!$C$38:$BN$38,1,E1193)</f>
        <v>8C779344</v>
      </c>
    </row>
    <row r="1200" spans="1:13" x14ac:dyDescent="0.25">
      <c r="A1200" s="7" t="s">
        <v>370</v>
      </c>
      <c r="C1200" s="27" t="str" cm="1">
        <f t="array" ref="C1200">HexToBits(C1199)</f>
        <v>00110100000011110011110101110100</v>
      </c>
      <c r="E1200" t="str" cm="1">
        <f t="array" ref="E1200">HexToBits(E1199)</f>
        <v>11011000010001101110100000111000</v>
      </c>
      <c r="G1200" t="str" cm="1">
        <f t="array" ref="G1200">HexToBits(G1199)</f>
        <v>00011100000101100110000010011110</v>
      </c>
      <c r="I1200" t="str" cm="1">
        <f t="array" ref="I1200">HexToBits(I1199)</f>
        <v>00101110000110110010000100111000</v>
      </c>
      <c r="K1200" t="str" cm="1">
        <f t="array" ref="K1200">HexToBits(K1199)</f>
        <v>10001100011101111001001101000100</v>
      </c>
    </row>
    <row r="1201" spans="1:12" x14ac:dyDescent="0.25">
      <c r="A1201" s="7"/>
    </row>
    <row r="1202" spans="1:12" x14ac:dyDescent="0.25">
      <c r="A1202" s="7" t="s">
        <v>364</v>
      </c>
      <c r="B1202" t="str">
        <f>_xlfn.BASE(
  (_xlfn.DECIMAL(C1200,2)+_xlfn.DECIMAL(E1200,2)+_xlfn.DECIMAL(G1200,2)+_xlfn.DECIMAL(I1200,2)+_xlfn.DECIMAL(K1200,2))
  - (INT((_xlfn.DECIMAL(C1200,2)+_xlfn.DECIMAL(E1200,2)+_xlfn.DECIMAL(G1200,2)+_xlfn.DECIMAL(I1200,2)+_xlfn.DECIMAL(K1200,2)) / 4294967296) * 4294967296),
  2,
  32
)</f>
        <v>11100010111111110011101011000110</v>
      </c>
    </row>
    <row r="1203" spans="1:12" x14ac:dyDescent="0.25">
      <c r="A1203" s="7" t="s">
        <v>369</v>
      </c>
      <c r="B1203" t="str" cm="1">
        <f t="array" ref="B1203">BitsToHex(B1202)</f>
        <v>E2FF3AC6</v>
      </c>
    </row>
    <row r="1206" spans="1:12" x14ac:dyDescent="0.25">
      <c r="A1206" s="7" t="s">
        <v>373</v>
      </c>
      <c r="B1206" s="7"/>
      <c r="C1206" s="29" t="s">
        <v>371</v>
      </c>
      <c r="D1206" s="26" t="s">
        <v>183</v>
      </c>
      <c r="E1206" s="8" t="s">
        <v>372</v>
      </c>
      <c r="J1206" s="32"/>
    </row>
    <row r="1207" spans="1:12" x14ac:dyDescent="0.25">
      <c r="A1207" s="7"/>
    </row>
    <row r="1208" spans="1:12" x14ac:dyDescent="0.25">
      <c r="A1208" s="7"/>
      <c r="C1208" s="27" t="str" cm="1">
        <f t="array" ref="C1208">BSIG0_H(E1195)</f>
        <v>7F6DEC6B</v>
      </c>
      <c r="E1208" t="str" cm="1">
        <f t="array" ref="E1208">MAJ_H(E1195,F1195,G1195)</f>
        <v>1B1190BC</v>
      </c>
    </row>
    <row r="1209" spans="1:12" x14ac:dyDescent="0.25">
      <c r="A1209" s="7" t="s">
        <v>370</v>
      </c>
      <c r="C1209" s="27" t="str" cm="1">
        <f t="array" ref="C1209">HexToBits(C1208)</f>
        <v>01111111011011011110110001101011</v>
      </c>
      <c r="E1209" t="str" cm="1">
        <f t="array" ref="E1209">HexToBits(E1208)</f>
        <v>00011011000100011001000010111100</v>
      </c>
    </row>
    <row r="1210" spans="1:12" x14ac:dyDescent="0.25">
      <c r="A1210" s="7"/>
    </row>
    <row r="1211" spans="1:12" x14ac:dyDescent="0.25">
      <c r="A1211" s="7" t="s">
        <v>373</v>
      </c>
      <c r="B1211" t="str">
        <f>_xlfn.BASE(MOD(_xlfn.DECIMAL(C1209,2) + _xlfn.DECIMAL(E1209,2), 4294967296), 2, 32)</f>
        <v>10011010011111110111110100100111</v>
      </c>
    </row>
    <row r="1212" spans="1:12" x14ac:dyDescent="0.25">
      <c r="A1212" s="7" t="s">
        <v>369</v>
      </c>
      <c r="B1212" t="str" cm="1">
        <f t="array" ref="B1212">BitsToHex(B1211)</f>
        <v>9A7F7D27</v>
      </c>
    </row>
    <row r="1213" spans="1:12" x14ac:dyDescent="0.25">
      <c r="A1213" s="7"/>
    </row>
    <row r="1214" spans="1:12" x14ac:dyDescent="0.25">
      <c r="A1214" s="7" t="s">
        <v>374</v>
      </c>
      <c r="C1214" s="28" t="s">
        <v>31</v>
      </c>
      <c r="D1214" s="26" t="s">
        <v>183</v>
      </c>
      <c r="E1214" s="7" t="s">
        <v>227</v>
      </c>
    </row>
    <row r="1215" spans="1:12" x14ac:dyDescent="0.25">
      <c r="A1215" s="7"/>
      <c r="C1215" s="28"/>
      <c r="D1215" s="26"/>
      <c r="E1215" s="7"/>
      <c r="L1215" s="16"/>
    </row>
    <row r="1216" spans="1:12" x14ac:dyDescent="0.25">
      <c r="C1216" s="27" t="str" cm="1">
        <f t="array" ref="C1216">HexToBits(H1195)</f>
        <v>00101011000100010000011101010001</v>
      </c>
      <c r="D1216" s="26"/>
      <c r="E1216" t="str">
        <f>B1202</f>
        <v>11100010111111110011101011000110</v>
      </c>
    </row>
    <row r="1217" spans="1:13" x14ac:dyDescent="0.25">
      <c r="A1217" s="7" t="s">
        <v>374</v>
      </c>
      <c r="B1217" t="str">
        <f>_xlfn.BASE(MOD(_xlfn.DECIMAL(C1216,2) + _xlfn.DECIMAL(E1216,2), 4294967296), 2, 32)</f>
        <v>00001110000100000100001000010111</v>
      </c>
      <c r="D1217" s="16"/>
    </row>
    <row r="1218" spans="1:13" x14ac:dyDescent="0.25">
      <c r="A1218" s="7" t="s">
        <v>375</v>
      </c>
      <c r="B1218" t="str" cm="1">
        <f t="array" ref="B1218">BitsToHex(B1217)</f>
        <v>0E104217</v>
      </c>
      <c r="C1218" s="28"/>
      <c r="D1218" s="26"/>
      <c r="E1218" s="7"/>
    </row>
    <row r="1219" spans="1:13" x14ac:dyDescent="0.25">
      <c r="A1219" s="7"/>
      <c r="C1219" s="28"/>
      <c r="D1219" s="26"/>
      <c r="E1219" s="7"/>
    </row>
    <row r="1220" spans="1:13" x14ac:dyDescent="0.25">
      <c r="A1220" s="7" t="s">
        <v>376</v>
      </c>
      <c r="C1220" s="28" t="s">
        <v>377</v>
      </c>
      <c r="D1220" s="26" t="s">
        <v>183</v>
      </c>
      <c r="E1220" s="7" t="s">
        <v>378</v>
      </c>
    </row>
    <row r="1221" spans="1:13" x14ac:dyDescent="0.25">
      <c r="A1221" s="7"/>
      <c r="C1221" s="27" t="str">
        <f>B1202</f>
        <v>11100010111111110011101011000110</v>
      </c>
      <c r="D1221" s="16"/>
      <c r="E1221" t="str">
        <f>B1211</f>
        <v>10011010011111110111110100100111</v>
      </c>
    </row>
    <row r="1222" spans="1:13" x14ac:dyDescent="0.25">
      <c r="A1222" s="7"/>
      <c r="C1222" s="28"/>
      <c r="D1222" s="26"/>
      <c r="E1222" s="7"/>
    </row>
    <row r="1223" spans="1:13" x14ac:dyDescent="0.25">
      <c r="A1223" s="7" t="s">
        <v>376</v>
      </c>
      <c r="B1223" t="str">
        <f>_xlfn.BASE(MOD(_xlfn.DECIMAL(C1221,2) + _xlfn.DECIMAL(E1221,2), 4294967296), 2, 32)</f>
        <v>01111101011111101011011111101101</v>
      </c>
      <c r="C1223" s="28"/>
      <c r="D1223" s="26"/>
      <c r="E1223" s="7"/>
    </row>
    <row r="1224" spans="1:13" x14ac:dyDescent="0.25">
      <c r="A1224" s="7" t="s">
        <v>375</v>
      </c>
      <c r="B1224" t="str" cm="1">
        <f t="array" ref="B1224">BitsToHex(B1223)</f>
        <v>7D7EB7ED</v>
      </c>
    </row>
    <row r="1226" spans="1:13" x14ac:dyDescent="0.25">
      <c r="C1226" s="27" t="s">
        <v>225</v>
      </c>
      <c r="E1226" s="24" t="s">
        <v>8</v>
      </c>
      <c r="F1226" s="24" t="s">
        <v>29</v>
      </c>
      <c r="G1226" s="24" t="s">
        <v>30</v>
      </c>
      <c r="H1226" s="24" t="s">
        <v>31</v>
      </c>
      <c r="I1226" s="24" t="s">
        <v>221</v>
      </c>
      <c r="J1226" s="24" t="s">
        <v>222</v>
      </c>
      <c r="K1226" s="24" t="s">
        <v>34</v>
      </c>
      <c r="L1226" s="24" t="s">
        <v>223</v>
      </c>
    </row>
    <row r="1227" spans="1:13" x14ac:dyDescent="0.25">
      <c r="E1227" s="24" t="str">
        <f>B1224</f>
        <v>7D7EB7ED</v>
      </c>
      <c r="F1227" s="24" t="str">
        <f>E1195</f>
        <v>6B39103C</v>
      </c>
      <c r="G1227" s="24" t="str">
        <f>F1195</f>
        <v>1191E0D6</v>
      </c>
      <c r="H1227" s="24" t="str">
        <f>G1195</f>
        <v>9F139ABD</v>
      </c>
      <c r="I1227" s="24" t="str">
        <f>B1218</f>
        <v>0E104217</v>
      </c>
      <c r="J1227" s="25" t="str">
        <f>I1195</f>
        <v>A4CB02BA</v>
      </c>
      <c r="K1227" s="24" t="str">
        <f>J1195</f>
        <v>5D06F09E</v>
      </c>
      <c r="L1227" s="24" t="str">
        <f>K1195</f>
        <v>981F6014</v>
      </c>
    </row>
    <row r="1228" spans="1:13" x14ac:dyDescent="0.25">
      <c r="A1228" s="2"/>
      <c r="B1228" s="2"/>
      <c r="C1228" s="30" t="s">
        <v>379</v>
      </c>
      <c r="D1228" s="2">
        <v>34</v>
      </c>
      <c r="E1228" s="2"/>
      <c r="F1228" s="2"/>
      <c r="G1228" s="2"/>
      <c r="H1228" s="2"/>
      <c r="I1228" s="2"/>
      <c r="J1228" s="2"/>
      <c r="K1228" s="2"/>
      <c r="L1228" s="2"/>
      <c r="M1228" s="2"/>
    </row>
    <row r="1229" spans="1:13" x14ac:dyDescent="0.25">
      <c r="D1229" t="s">
        <v>380</v>
      </c>
      <c r="E1229">
        <f>D1228+1</f>
        <v>35</v>
      </c>
    </row>
    <row r="1230" spans="1:13" x14ac:dyDescent="0.25">
      <c r="C1230" s="27" t="s">
        <v>224</v>
      </c>
      <c r="E1230" s="24" t="s">
        <v>8</v>
      </c>
      <c r="F1230" s="24" t="s">
        <v>29</v>
      </c>
      <c r="G1230" s="24" t="s">
        <v>30</v>
      </c>
      <c r="H1230" s="24" t="s">
        <v>31</v>
      </c>
      <c r="I1230" s="24" t="s">
        <v>221</v>
      </c>
      <c r="J1230" s="24" t="s">
        <v>222</v>
      </c>
      <c r="K1230" s="24" t="s">
        <v>34</v>
      </c>
      <c r="L1230" s="24" t="s">
        <v>223</v>
      </c>
    </row>
    <row r="1231" spans="1:13" x14ac:dyDescent="0.25">
      <c r="E1231" s="24" t="str">
        <f t="shared" ref="E1231:L1231" si="34">E1227</f>
        <v>7D7EB7ED</v>
      </c>
      <c r="F1231" s="24" t="str">
        <f t="shared" si="34"/>
        <v>6B39103C</v>
      </c>
      <c r="G1231" s="24" t="str">
        <f t="shared" si="34"/>
        <v>1191E0D6</v>
      </c>
      <c r="H1231" s="24" t="str">
        <f t="shared" si="34"/>
        <v>9F139ABD</v>
      </c>
      <c r="I1231" s="25" t="str">
        <f t="shared" si="34"/>
        <v>0E104217</v>
      </c>
      <c r="J1231" s="24" t="str">
        <f t="shared" si="34"/>
        <v>A4CB02BA</v>
      </c>
      <c r="K1231" s="24" t="str">
        <f t="shared" si="34"/>
        <v>5D06F09E</v>
      </c>
      <c r="L1231" s="24" t="str">
        <f t="shared" si="34"/>
        <v>981F6014</v>
      </c>
    </row>
    <row r="1233" spans="1:11" x14ac:dyDescent="0.25">
      <c r="A1233" s="7" t="s">
        <v>363</v>
      </c>
      <c r="B1233" s="7"/>
      <c r="C1233" s="28" t="s">
        <v>223</v>
      </c>
      <c r="D1233" s="26" t="s">
        <v>183</v>
      </c>
      <c r="E1233" s="8" t="s">
        <v>365</v>
      </c>
      <c r="F1233" s="26" t="s">
        <v>183</v>
      </c>
      <c r="G1233" s="8" t="s">
        <v>366</v>
      </c>
      <c r="H1233" s="26" t="s">
        <v>183</v>
      </c>
      <c r="I1233" s="8" t="s">
        <v>367</v>
      </c>
      <c r="J1233" s="26" t="s">
        <v>183</v>
      </c>
      <c r="K1233" s="8" t="s">
        <v>368</v>
      </c>
    </row>
    <row r="1234" spans="1:11" x14ac:dyDescent="0.25">
      <c r="A1234" s="7"/>
    </row>
    <row r="1235" spans="1:11" x14ac:dyDescent="0.25">
      <c r="A1235" s="7"/>
      <c r="C1235" s="27" t="str">
        <f>L1231</f>
        <v>981F6014</v>
      </c>
      <c r="E1235" t="str" cm="1">
        <f t="array" ref="E1235">BSIG1_H(I1231)</f>
        <v>16F88887</v>
      </c>
      <c r="G1235" t="str" cm="1">
        <f t="array" ref="G1235">CH_H(I1231,J1231,K1231)</f>
        <v>5506B29A</v>
      </c>
      <c r="I1235" t="str" cm="1">
        <f t="array" ref="I1235">INDEX(Folha3!$C$15:$J$22,IF(MOD(E1229,8)=0,0,1)+INT(E1229/8),1+MOD(E1229-1,8))</f>
        <v>4d2c6dfc</v>
      </c>
      <c r="K1235" t="str" cm="1">
        <f t="array" ref="K1235">INDEX(Folha3!$C$38:$BN$38,1,E1229)</f>
        <v>9ADFFD8F</v>
      </c>
    </row>
    <row r="1236" spans="1:11" x14ac:dyDescent="0.25">
      <c r="A1236" s="7" t="s">
        <v>370</v>
      </c>
      <c r="C1236" s="27" t="str" cm="1">
        <f t="array" ref="C1236">HexToBits(C1235)</f>
        <v>10011000000111110110000000010100</v>
      </c>
      <c r="E1236" t="str" cm="1">
        <f t="array" ref="E1236">HexToBits(E1235)</f>
        <v>00010110111110001000100010000111</v>
      </c>
      <c r="G1236" t="str" cm="1">
        <f t="array" ref="G1236">HexToBits(G1235)</f>
        <v>01010101000001101011001010011010</v>
      </c>
      <c r="I1236" t="str" cm="1">
        <f t="array" ref="I1236">HexToBits(I1235)</f>
        <v>01001101001011000110110111111100</v>
      </c>
      <c r="K1236" t="str" cm="1">
        <f t="array" ref="K1236">HexToBits(K1235)</f>
        <v>10011010110111111111110110001111</v>
      </c>
    </row>
    <row r="1237" spans="1:11" x14ac:dyDescent="0.25">
      <c r="A1237" s="7"/>
    </row>
    <row r="1238" spans="1:11" x14ac:dyDescent="0.25">
      <c r="A1238" s="7" t="s">
        <v>364</v>
      </c>
      <c r="B1238" t="str">
        <f>_xlfn.BASE(
  (_xlfn.DECIMAL(C1236,2)+_xlfn.DECIMAL(E1236,2)+_xlfn.DECIMAL(G1236,2)+_xlfn.DECIMAL(I1236,2)+_xlfn.DECIMAL(K1236,2))
  - (INT((_xlfn.DECIMAL(C1236,2)+_xlfn.DECIMAL(E1236,2)+_xlfn.DECIMAL(G1236,2)+_xlfn.DECIMAL(I1236,2)+_xlfn.DECIMAL(K1236,2)) / 4294967296) * 4294967296),
  2,
  32
)</f>
        <v>11101100001010110000011011000000</v>
      </c>
    </row>
    <row r="1239" spans="1:11" x14ac:dyDescent="0.25">
      <c r="A1239" s="7" t="s">
        <v>369</v>
      </c>
      <c r="B1239" t="str" cm="1">
        <f t="array" ref="B1239">BitsToHex(B1238)</f>
        <v>EC2B06C0</v>
      </c>
    </row>
    <row r="1242" spans="1:11" x14ac:dyDescent="0.25">
      <c r="A1242" s="7" t="s">
        <v>373</v>
      </c>
      <c r="B1242" s="7"/>
      <c r="C1242" s="29" t="s">
        <v>371</v>
      </c>
      <c r="D1242" s="26" t="s">
        <v>183</v>
      </c>
      <c r="E1242" s="8" t="s">
        <v>372</v>
      </c>
      <c r="J1242" s="32"/>
    </row>
    <row r="1243" spans="1:11" x14ac:dyDescent="0.25">
      <c r="A1243" s="7"/>
    </row>
    <row r="1244" spans="1:11" x14ac:dyDescent="0.25">
      <c r="A1244" s="7"/>
      <c r="C1244" s="27" t="str" cm="1">
        <f t="array" ref="C1244">BSIG0_H(E1231)</f>
        <v>1AEBF3FB</v>
      </c>
      <c r="E1244" t="str" cm="1">
        <f t="array" ref="E1244">MAJ_H(E1231,F1231,G1231)</f>
        <v>7939B0FC</v>
      </c>
    </row>
    <row r="1245" spans="1:11" x14ac:dyDescent="0.25">
      <c r="A1245" s="7" t="s">
        <v>370</v>
      </c>
      <c r="C1245" s="27" t="str" cm="1">
        <f t="array" ref="C1245">HexToBits(C1244)</f>
        <v>00011010111010111111001111111011</v>
      </c>
      <c r="E1245" t="str" cm="1">
        <f t="array" ref="E1245">HexToBits(E1244)</f>
        <v>01111001001110011011000011111100</v>
      </c>
    </row>
    <row r="1246" spans="1:11" x14ac:dyDescent="0.25">
      <c r="A1246" s="7"/>
    </row>
    <row r="1247" spans="1:11" x14ac:dyDescent="0.25">
      <c r="A1247" s="7" t="s">
        <v>373</v>
      </c>
      <c r="B1247" t="str">
        <f>_xlfn.BASE(MOD(_xlfn.DECIMAL(C1245,2) + _xlfn.DECIMAL(E1245,2), 4294967296), 2, 32)</f>
        <v>10010100001001011010010011110111</v>
      </c>
    </row>
    <row r="1248" spans="1:11" x14ac:dyDescent="0.25">
      <c r="A1248" s="7" t="s">
        <v>369</v>
      </c>
      <c r="B1248" t="str" cm="1">
        <f t="array" ref="B1248">BitsToHex(B1247)</f>
        <v>9425A4F7</v>
      </c>
    </row>
    <row r="1249" spans="1:13" x14ac:dyDescent="0.25">
      <c r="A1249" s="7"/>
    </row>
    <row r="1250" spans="1:13" x14ac:dyDescent="0.25">
      <c r="A1250" s="7" t="s">
        <v>374</v>
      </c>
      <c r="C1250" s="28" t="s">
        <v>31</v>
      </c>
      <c r="D1250" s="26" t="s">
        <v>183</v>
      </c>
      <c r="E1250" s="7" t="s">
        <v>227</v>
      </c>
    </row>
    <row r="1251" spans="1:13" x14ac:dyDescent="0.25">
      <c r="A1251" s="7"/>
      <c r="C1251" s="28"/>
      <c r="D1251" s="26"/>
      <c r="E1251" s="7"/>
      <c r="L1251" s="16"/>
    </row>
    <row r="1252" spans="1:13" x14ac:dyDescent="0.25">
      <c r="C1252" s="27" t="str" cm="1">
        <f t="array" ref="C1252">HexToBits(H1231)</f>
        <v>10011111000100111001101010111101</v>
      </c>
      <c r="D1252" s="26"/>
      <c r="E1252" t="str">
        <f>B1238</f>
        <v>11101100001010110000011011000000</v>
      </c>
    </row>
    <row r="1253" spans="1:13" x14ac:dyDescent="0.25">
      <c r="A1253" s="7" t="s">
        <v>374</v>
      </c>
      <c r="B1253" t="str">
        <f>_xlfn.BASE(MOD(_xlfn.DECIMAL(C1252,2) + _xlfn.DECIMAL(E1252,2), 4294967296), 2, 32)</f>
        <v>10001011001111101010000101111101</v>
      </c>
      <c r="D1253" s="16"/>
    </row>
    <row r="1254" spans="1:13" x14ac:dyDescent="0.25">
      <c r="A1254" s="7" t="s">
        <v>375</v>
      </c>
      <c r="B1254" t="str" cm="1">
        <f t="array" ref="B1254">BitsToHex(B1253)</f>
        <v>8B3EA17D</v>
      </c>
      <c r="C1254" s="28"/>
      <c r="D1254" s="26"/>
      <c r="E1254" s="7"/>
    </row>
    <row r="1255" spans="1:13" x14ac:dyDescent="0.25">
      <c r="A1255" s="7"/>
      <c r="C1255" s="28"/>
      <c r="D1255" s="26"/>
      <c r="E1255" s="7"/>
    </row>
    <row r="1256" spans="1:13" x14ac:dyDescent="0.25">
      <c r="A1256" s="7" t="s">
        <v>376</v>
      </c>
      <c r="C1256" s="28" t="s">
        <v>377</v>
      </c>
      <c r="D1256" s="26" t="s">
        <v>183</v>
      </c>
      <c r="E1256" s="7" t="s">
        <v>378</v>
      </c>
    </row>
    <row r="1257" spans="1:13" x14ac:dyDescent="0.25">
      <c r="A1257" s="7"/>
      <c r="C1257" s="27" t="str">
        <f>B1238</f>
        <v>11101100001010110000011011000000</v>
      </c>
      <c r="D1257" s="16"/>
      <c r="E1257" t="str">
        <f>B1247</f>
        <v>10010100001001011010010011110111</v>
      </c>
    </row>
    <row r="1258" spans="1:13" x14ac:dyDescent="0.25">
      <c r="A1258" s="7"/>
      <c r="C1258" s="28"/>
      <c r="D1258" s="26"/>
      <c r="E1258" s="7"/>
    </row>
    <row r="1259" spans="1:13" x14ac:dyDescent="0.25">
      <c r="A1259" s="7" t="s">
        <v>376</v>
      </c>
      <c r="B1259" t="str">
        <f>_xlfn.BASE(MOD(_xlfn.DECIMAL(C1257,2) + _xlfn.DECIMAL(E1257,2), 4294967296), 2, 32)</f>
        <v>10000000010100001010101110110111</v>
      </c>
      <c r="C1259" s="28"/>
      <c r="D1259" s="26"/>
      <c r="E1259" s="7"/>
    </row>
    <row r="1260" spans="1:13" x14ac:dyDescent="0.25">
      <c r="A1260" s="7" t="s">
        <v>375</v>
      </c>
      <c r="B1260" t="str" cm="1">
        <f t="array" ref="B1260">BitsToHex(B1259)</f>
        <v>8050ABB7</v>
      </c>
    </row>
    <row r="1262" spans="1:13" x14ac:dyDescent="0.25">
      <c r="C1262" s="27" t="s">
        <v>225</v>
      </c>
      <c r="E1262" s="24" t="s">
        <v>8</v>
      </c>
      <c r="F1262" s="24" t="s">
        <v>29</v>
      </c>
      <c r="G1262" s="24" t="s">
        <v>30</v>
      </c>
      <c r="H1262" s="24" t="s">
        <v>31</v>
      </c>
      <c r="I1262" s="24" t="s">
        <v>221</v>
      </c>
      <c r="J1262" s="24" t="s">
        <v>222</v>
      </c>
      <c r="K1262" s="24" t="s">
        <v>34</v>
      </c>
      <c r="L1262" s="24" t="s">
        <v>223</v>
      </c>
    </row>
    <row r="1263" spans="1:13" x14ac:dyDescent="0.25">
      <c r="E1263" s="24" t="str">
        <f>B1260</f>
        <v>8050ABB7</v>
      </c>
      <c r="F1263" s="24" t="str">
        <f>E1231</f>
        <v>7D7EB7ED</v>
      </c>
      <c r="G1263" s="24" t="str">
        <f>F1231</f>
        <v>6B39103C</v>
      </c>
      <c r="H1263" s="24" t="str">
        <f>G1231</f>
        <v>1191E0D6</v>
      </c>
      <c r="I1263" s="24" t="str">
        <f>B1254</f>
        <v>8B3EA17D</v>
      </c>
      <c r="J1263" s="25" t="str">
        <f>I1231</f>
        <v>0E104217</v>
      </c>
      <c r="K1263" s="24" t="str">
        <f>J1231</f>
        <v>A4CB02BA</v>
      </c>
      <c r="L1263" s="24" t="str">
        <f>K1231</f>
        <v>5D06F09E</v>
      </c>
    </row>
    <row r="1264" spans="1:13" x14ac:dyDescent="0.25">
      <c r="A1264" s="2"/>
      <c r="B1264" s="2"/>
      <c r="C1264" s="30" t="s">
        <v>379</v>
      </c>
      <c r="D1264" s="2">
        <v>35</v>
      </c>
      <c r="E1264" s="2"/>
      <c r="F1264" s="2"/>
      <c r="G1264" s="2"/>
      <c r="H1264" s="2"/>
      <c r="I1264" s="2"/>
      <c r="J1264" s="2"/>
      <c r="K1264" s="2"/>
      <c r="L1264" s="2"/>
      <c r="M1264" s="2"/>
    </row>
    <row r="1265" spans="1:12" x14ac:dyDescent="0.25">
      <c r="D1265" t="s">
        <v>380</v>
      </c>
      <c r="E1265">
        <f>D1264+1</f>
        <v>36</v>
      </c>
    </row>
    <row r="1266" spans="1:12" x14ac:dyDescent="0.25">
      <c r="C1266" s="27" t="s">
        <v>224</v>
      </c>
      <c r="E1266" s="24" t="s">
        <v>8</v>
      </c>
      <c r="F1266" s="24" t="s">
        <v>29</v>
      </c>
      <c r="G1266" s="24" t="s">
        <v>30</v>
      </c>
      <c r="H1266" s="24" t="s">
        <v>31</v>
      </c>
      <c r="I1266" s="24" t="s">
        <v>221</v>
      </c>
      <c r="J1266" s="24" t="s">
        <v>222</v>
      </c>
      <c r="K1266" s="24" t="s">
        <v>34</v>
      </c>
      <c r="L1266" s="24" t="s">
        <v>223</v>
      </c>
    </row>
    <row r="1267" spans="1:12" x14ac:dyDescent="0.25">
      <c r="E1267" s="24" t="str">
        <f t="shared" ref="E1267:L1267" si="35">E1263</f>
        <v>8050ABB7</v>
      </c>
      <c r="F1267" s="24" t="str">
        <f t="shared" si="35"/>
        <v>7D7EB7ED</v>
      </c>
      <c r="G1267" s="24" t="str">
        <f t="shared" si="35"/>
        <v>6B39103C</v>
      </c>
      <c r="H1267" s="24" t="str">
        <f t="shared" si="35"/>
        <v>1191E0D6</v>
      </c>
      <c r="I1267" s="25" t="str">
        <f t="shared" si="35"/>
        <v>8B3EA17D</v>
      </c>
      <c r="J1267" s="24" t="str">
        <f t="shared" si="35"/>
        <v>0E104217</v>
      </c>
      <c r="K1267" s="24" t="str">
        <f t="shared" si="35"/>
        <v>A4CB02BA</v>
      </c>
      <c r="L1267" s="24" t="str">
        <f t="shared" si="35"/>
        <v>5D06F09E</v>
      </c>
    </row>
    <row r="1269" spans="1:12" x14ac:dyDescent="0.25">
      <c r="A1269" s="7" t="s">
        <v>363</v>
      </c>
      <c r="B1269" s="7"/>
      <c r="C1269" s="28" t="s">
        <v>223</v>
      </c>
      <c r="D1269" s="26" t="s">
        <v>183</v>
      </c>
      <c r="E1269" s="8" t="s">
        <v>365</v>
      </c>
      <c r="F1269" s="26" t="s">
        <v>183</v>
      </c>
      <c r="G1269" s="8" t="s">
        <v>366</v>
      </c>
      <c r="H1269" s="26" t="s">
        <v>183</v>
      </c>
      <c r="I1269" s="8" t="s">
        <v>367</v>
      </c>
      <c r="J1269" s="26" t="s">
        <v>183</v>
      </c>
      <c r="K1269" s="8" t="s">
        <v>368</v>
      </c>
    </row>
    <row r="1270" spans="1:12" x14ac:dyDescent="0.25">
      <c r="A1270" s="7"/>
    </row>
    <row r="1271" spans="1:12" x14ac:dyDescent="0.25">
      <c r="A1271" s="7"/>
      <c r="C1271" s="27" t="str">
        <f>L1267</f>
        <v>5D06F09E</v>
      </c>
      <c r="E1271" t="str" cm="1">
        <f t="array" ref="E1271">BSIG1_H(I1267)</f>
        <v>46CD2394</v>
      </c>
      <c r="G1271" t="str" cm="1">
        <f t="array" ref="G1271">CH_H(I1267,J1267,K1267)</f>
        <v>2ED10297</v>
      </c>
      <c r="I1271" t="str" cm="1">
        <f t="array" ref="I1271">INDEX(Folha3!$C$15:$J$22,IF(MOD(E1265,8)=0,0,1)+INT(E1265/8),1+MOD(E1265-1,8))</f>
        <v>53380d13</v>
      </c>
      <c r="K1271" t="str" cm="1">
        <f t="array" ref="K1271">INDEX(Folha3!$C$38:$BN$38,1,E1265)</f>
        <v>B132D89A</v>
      </c>
    </row>
    <row r="1272" spans="1:12" x14ac:dyDescent="0.25">
      <c r="A1272" s="7" t="s">
        <v>370</v>
      </c>
      <c r="C1272" s="27" t="str" cm="1">
        <f t="array" ref="C1272">HexToBits(C1271)</f>
        <v>01011101000001101111000010011110</v>
      </c>
      <c r="E1272" t="str" cm="1">
        <f t="array" ref="E1272">HexToBits(E1271)</f>
        <v>01000110110011010010001110010100</v>
      </c>
      <c r="G1272" t="str" cm="1">
        <f t="array" ref="G1272">HexToBits(G1271)</f>
        <v>00101110110100010000001010010111</v>
      </c>
      <c r="I1272" t="str" cm="1">
        <f t="array" ref="I1272">HexToBits(I1271)</f>
        <v>01010011001110000000110100010011</v>
      </c>
      <c r="K1272" t="str" cm="1">
        <f t="array" ref="K1272">HexToBits(K1271)</f>
        <v>10110001001100101101100010011010</v>
      </c>
    </row>
    <row r="1273" spans="1:12" x14ac:dyDescent="0.25">
      <c r="A1273" s="7"/>
    </row>
    <row r="1274" spans="1:12" x14ac:dyDescent="0.25">
      <c r="A1274" s="7" t="s">
        <v>364</v>
      </c>
      <c r="B1274" t="str">
        <f>_xlfn.BASE(
  (_xlfn.DECIMAL(C1272,2)+_xlfn.DECIMAL(E1272,2)+_xlfn.DECIMAL(G1272,2)+_xlfn.DECIMAL(I1272,2)+_xlfn.DECIMAL(K1272,2))
  - (INT((_xlfn.DECIMAL(C1272,2)+_xlfn.DECIMAL(E1272,2)+_xlfn.DECIMAL(G1272,2)+_xlfn.DECIMAL(I1272,2)+_xlfn.DECIMAL(K1272,2)) / 4294967296) * 4294967296),
  2,
  32
)</f>
        <v>11010111000011111111110001110110</v>
      </c>
    </row>
    <row r="1275" spans="1:12" x14ac:dyDescent="0.25">
      <c r="A1275" s="7" t="s">
        <v>369</v>
      </c>
      <c r="B1275" t="str" cm="1">
        <f t="array" ref="B1275">BitsToHex(B1274)</f>
        <v>D70FFC76</v>
      </c>
    </row>
    <row r="1278" spans="1:12" x14ac:dyDescent="0.25">
      <c r="A1278" s="7" t="s">
        <v>373</v>
      </c>
      <c r="B1278" s="7"/>
      <c r="C1278" s="29" t="s">
        <v>371</v>
      </c>
      <c r="D1278" s="26" t="s">
        <v>183</v>
      </c>
      <c r="E1278" s="8" t="s">
        <v>372</v>
      </c>
      <c r="J1278" s="32"/>
    </row>
    <row r="1279" spans="1:12" x14ac:dyDescent="0.25">
      <c r="A1279" s="7"/>
    </row>
    <row r="1280" spans="1:12" x14ac:dyDescent="0.25">
      <c r="A1280" s="7"/>
      <c r="C1280" s="27" t="str" cm="1">
        <f t="array" ref="C1280">BSIG0_H(E1267)</f>
        <v>FF06F669</v>
      </c>
      <c r="E1280" t="str" cm="1">
        <f t="array" ref="E1280">MAJ_H(E1267,F1267,G1267)</f>
        <v>6978B3BD</v>
      </c>
    </row>
    <row r="1281" spans="1:12" x14ac:dyDescent="0.25">
      <c r="A1281" s="7" t="s">
        <v>370</v>
      </c>
      <c r="C1281" s="27" t="str" cm="1">
        <f t="array" ref="C1281">HexToBits(C1280)</f>
        <v>11111111000001101111011001101001</v>
      </c>
      <c r="E1281" t="str" cm="1">
        <f t="array" ref="E1281">HexToBits(E1280)</f>
        <v>01101001011110001011001110111101</v>
      </c>
    </row>
    <row r="1282" spans="1:12" x14ac:dyDescent="0.25">
      <c r="A1282" s="7"/>
    </row>
    <row r="1283" spans="1:12" x14ac:dyDescent="0.25">
      <c r="A1283" s="7" t="s">
        <v>373</v>
      </c>
      <c r="B1283" t="str">
        <f>_xlfn.BASE(MOD(_xlfn.DECIMAL(C1281,2) + _xlfn.DECIMAL(E1281,2), 4294967296), 2, 32)</f>
        <v>01101000011111111010101000100110</v>
      </c>
    </row>
    <row r="1284" spans="1:12" x14ac:dyDescent="0.25">
      <c r="A1284" s="7" t="s">
        <v>369</v>
      </c>
      <c r="B1284" t="str" cm="1">
        <f t="array" ref="B1284">BitsToHex(B1283)</f>
        <v>687FAA26</v>
      </c>
    </row>
    <row r="1285" spans="1:12" x14ac:dyDescent="0.25">
      <c r="A1285" s="7"/>
    </row>
    <row r="1286" spans="1:12" x14ac:dyDescent="0.25">
      <c r="A1286" s="7" t="s">
        <v>374</v>
      </c>
      <c r="C1286" s="28" t="s">
        <v>31</v>
      </c>
      <c r="D1286" s="26" t="s">
        <v>183</v>
      </c>
      <c r="E1286" s="7" t="s">
        <v>227</v>
      </c>
    </row>
    <row r="1287" spans="1:12" x14ac:dyDescent="0.25">
      <c r="A1287" s="7"/>
      <c r="C1287" s="28"/>
      <c r="D1287" s="26"/>
      <c r="E1287" s="7"/>
      <c r="L1287" s="16"/>
    </row>
    <row r="1288" spans="1:12" x14ac:dyDescent="0.25">
      <c r="C1288" s="27" t="str" cm="1">
        <f t="array" ref="C1288">HexToBits(H1267)</f>
        <v>00010001100100011110000011010110</v>
      </c>
      <c r="D1288" s="26"/>
      <c r="E1288" t="str">
        <f>B1274</f>
        <v>11010111000011111111110001110110</v>
      </c>
    </row>
    <row r="1289" spans="1:12" x14ac:dyDescent="0.25">
      <c r="A1289" s="7" t="s">
        <v>374</v>
      </c>
      <c r="B1289" t="str">
        <f>_xlfn.BASE(MOD(_xlfn.DECIMAL(C1288,2) + _xlfn.DECIMAL(E1288,2), 4294967296), 2, 32)</f>
        <v>11101000101000011101110101001100</v>
      </c>
      <c r="D1289" s="16"/>
    </row>
    <row r="1290" spans="1:12" x14ac:dyDescent="0.25">
      <c r="A1290" s="7" t="s">
        <v>375</v>
      </c>
      <c r="B1290" t="str" cm="1">
        <f t="array" ref="B1290">BitsToHex(B1289)</f>
        <v>E8A1DD4C</v>
      </c>
      <c r="C1290" s="28"/>
      <c r="D1290" s="26"/>
      <c r="E1290" s="7"/>
    </row>
    <row r="1291" spans="1:12" x14ac:dyDescent="0.25">
      <c r="A1291" s="7"/>
      <c r="C1291" s="28"/>
      <c r="D1291" s="26"/>
      <c r="E1291" s="7"/>
    </row>
    <row r="1292" spans="1:12" x14ac:dyDescent="0.25">
      <c r="A1292" s="7" t="s">
        <v>376</v>
      </c>
      <c r="C1292" s="28" t="s">
        <v>377</v>
      </c>
      <c r="D1292" s="26" t="s">
        <v>183</v>
      </c>
      <c r="E1292" s="7" t="s">
        <v>378</v>
      </c>
    </row>
    <row r="1293" spans="1:12" x14ac:dyDescent="0.25">
      <c r="A1293" s="7"/>
      <c r="C1293" s="27" t="str">
        <f>B1274</f>
        <v>11010111000011111111110001110110</v>
      </c>
      <c r="D1293" s="16"/>
      <c r="E1293" t="str">
        <f>B1283</f>
        <v>01101000011111111010101000100110</v>
      </c>
    </row>
    <row r="1294" spans="1:12" x14ac:dyDescent="0.25">
      <c r="A1294" s="7"/>
      <c r="C1294" s="28"/>
      <c r="D1294" s="26"/>
      <c r="E1294" s="7"/>
    </row>
    <row r="1295" spans="1:12" x14ac:dyDescent="0.25">
      <c r="A1295" s="7" t="s">
        <v>376</v>
      </c>
      <c r="B1295" t="str">
        <f>_xlfn.BASE(MOD(_xlfn.DECIMAL(C1293,2) + _xlfn.DECIMAL(E1293,2), 4294967296), 2, 32)</f>
        <v>00111111100011111010011010011100</v>
      </c>
      <c r="C1295" s="28"/>
      <c r="D1295" s="26"/>
      <c r="E1295" s="7"/>
    </row>
    <row r="1296" spans="1:12" x14ac:dyDescent="0.25">
      <c r="A1296" s="7" t="s">
        <v>375</v>
      </c>
      <c r="B1296" t="str" cm="1">
        <f t="array" ref="B1296">BitsToHex(B1295)</f>
        <v>3F8FA69C</v>
      </c>
    </row>
    <row r="1298" spans="1:13" x14ac:dyDescent="0.25">
      <c r="C1298" s="27" t="s">
        <v>225</v>
      </c>
      <c r="E1298" s="24" t="s">
        <v>8</v>
      </c>
      <c r="F1298" s="24" t="s">
        <v>29</v>
      </c>
      <c r="G1298" s="24" t="s">
        <v>30</v>
      </c>
      <c r="H1298" s="24" t="s">
        <v>31</v>
      </c>
      <c r="I1298" s="24" t="s">
        <v>221</v>
      </c>
      <c r="J1298" s="24" t="s">
        <v>222</v>
      </c>
      <c r="K1298" s="24" t="s">
        <v>34</v>
      </c>
      <c r="L1298" s="24" t="s">
        <v>223</v>
      </c>
    </row>
    <row r="1299" spans="1:13" x14ac:dyDescent="0.25">
      <c r="E1299" s="24" t="str">
        <f>B1296</f>
        <v>3F8FA69C</v>
      </c>
      <c r="F1299" s="24" t="str">
        <f>E1267</f>
        <v>8050ABB7</v>
      </c>
      <c r="G1299" s="24" t="str">
        <f>F1267</f>
        <v>7D7EB7ED</v>
      </c>
      <c r="H1299" s="24" t="str">
        <f>G1267</f>
        <v>6B39103C</v>
      </c>
      <c r="I1299" s="24" t="str">
        <f>B1290</f>
        <v>E8A1DD4C</v>
      </c>
      <c r="J1299" s="25" t="str">
        <f>I1267</f>
        <v>8B3EA17D</v>
      </c>
      <c r="K1299" s="24" t="str">
        <f>J1267</f>
        <v>0E104217</v>
      </c>
      <c r="L1299" s="24" t="str">
        <f>K1267</f>
        <v>A4CB02BA</v>
      </c>
    </row>
    <row r="1300" spans="1:13" x14ac:dyDescent="0.25">
      <c r="A1300" s="2"/>
      <c r="B1300" s="2"/>
      <c r="C1300" s="30" t="s">
        <v>379</v>
      </c>
      <c r="D1300" s="2">
        <v>36</v>
      </c>
      <c r="E1300" s="2"/>
      <c r="F1300" s="2"/>
      <c r="G1300" s="2"/>
      <c r="H1300" s="2"/>
      <c r="I1300" s="2"/>
      <c r="J1300" s="2"/>
      <c r="K1300" s="2"/>
      <c r="L1300" s="2"/>
      <c r="M1300" s="2"/>
    </row>
    <row r="1301" spans="1:13" x14ac:dyDescent="0.25">
      <c r="D1301" t="s">
        <v>380</v>
      </c>
      <c r="E1301">
        <f>D1300+1</f>
        <v>37</v>
      </c>
    </row>
    <row r="1302" spans="1:13" x14ac:dyDescent="0.25">
      <c r="C1302" s="27" t="s">
        <v>224</v>
      </c>
      <c r="E1302" s="24" t="s">
        <v>8</v>
      </c>
      <c r="F1302" s="24" t="s">
        <v>29</v>
      </c>
      <c r="G1302" s="24" t="s">
        <v>30</v>
      </c>
      <c r="H1302" s="24" t="s">
        <v>31</v>
      </c>
      <c r="I1302" s="24" t="s">
        <v>221</v>
      </c>
      <c r="J1302" s="24" t="s">
        <v>222</v>
      </c>
      <c r="K1302" s="24" t="s">
        <v>34</v>
      </c>
      <c r="L1302" s="24" t="s">
        <v>223</v>
      </c>
    </row>
    <row r="1303" spans="1:13" x14ac:dyDescent="0.25">
      <c r="E1303" s="24" t="str">
        <f t="shared" ref="E1303:L1303" si="36">E1299</f>
        <v>3F8FA69C</v>
      </c>
      <c r="F1303" s="24" t="str">
        <f t="shared" si="36"/>
        <v>8050ABB7</v>
      </c>
      <c r="G1303" s="24" t="str">
        <f t="shared" si="36"/>
        <v>7D7EB7ED</v>
      </c>
      <c r="H1303" s="24" t="str">
        <f t="shared" si="36"/>
        <v>6B39103C</v>
      </c>
      <c r="I1303" s="25" t="str">
        <f t="shared" si="36"/>
        <v>E8A1DD4C</v>
      </c>
      <c r="J1303" s="24" t="str">
        <f t="shared" si="36"/>
        <v>8B3EA17D</v>
      </c>
      <c r="K1303" s="24" t="str">
        <f t="shared" si="36"/>
        <v>0E104217</v>
      </c>
      <c r="L1303" s="24" t="str">
        <f t="shared" si="36"/>
        <v>A4CB02BA</v>
      </c>
    </row>
    <row r="1305" spans="1:13" x14ac:dyDescent="0.25">
      <c r="A1305" s="7" t="s">
        <v>363</v>
      </c>
      <c r="B1305" s="7"/>
      <c r="C1305" s="28" t="s">
        <v>223</v>
      </c>
      <c r="D1305" s="26" t="s">
        <v>183</v>
      </c>
      <c r="E1305" s="8" t="s">
        <v>365</v>
      </c>
      <c r="F1305" s="26" t="s">
        <v>183</v>
      </c>
      <c r="G1305" s="8" t="s">
        <v>366</v>
      </c>
      <c r="H1305" s="26" t="s">
        <v>183</v>
      </c>
      <c r="I1305" s="8" t="s">
        <v>367</v>
      </c>
      <c r="J1305" s="26" t="s">
        <v>183</v>
      </c>
      <c r="K1305" s="8" t="s">
        <v>368</v>
      </c>
    </row>
    <row r="1306" spans="1:13" x14ac:dyDescent="0.25">
      <c r="A1306" s="7"/>
    </row>
    <row r="1307" spans="1:13" x14ac:dyDescent="0.25">
      <c r="A1307" s="7"/>
      <c r="C1307" s="27" t="str">
        <f>L1303</f>
        <v>A4CB02BA</v>
      </c>
      <c r="E1307" t="str" cm="1">
        <f t="array" ref="E1307">BSIG1_H(I1303)</f>
        <v>CAD1353A</v>
      </c>
      <c r="G1307" t="str" cm="1">
        <f t="array" ref="G1307">CH_H(I1303,J1303,K1303)</f>
        <v>8E30835F</v>
      </c>
      <c r="I1307" t="str" cm="1">
        <f t="array" ref="I1307">INDEX(Folha3!$C$15:$J$22,IF(MOD(E1301,8)=0,0,1)+INT(E1301/8),1+MOD(E1301-1,8))</f>
        <v>650a7354</v>
      </c>
      <c r="K1307" t="str" cm="1">
        <f t="array" ref="K1307">INDEX(Folha3!$C$38:$BN$38,1,E1301)</f>
        <v>7A2B002B</v>
      </c>
    </row>
    <row r="1308" spans="1:13" x14ac:dyDescent="0.25">
      <c r="A1308" s="7" t="s">
        <v>370</v>
      </c>
      <c r="C1308" s="27" t="str" cm="1">
        <f t="array" ref="C1308">HexToBits(C1307)</f>
        <v>10100100110010110000001010111010</v>
      </c>
      <c r="E1308" t="str" cm="1">
        <f t="array" ref="E1308">HexToBits(E1307)</f>
        <v>11001010110100010011010100111010</v>
      </c>
      <c r="G1308" t="str" cm="1">
        <f t="array" ref="G1308">HexToBits(G1307)</f>
        <v>10001110001100001000001101011111</v>
      </c>
      <c r="I1308" t="str" cm="1">
        <f t="array" ref="I1308">HexToBits(I1307)</f>
        <v>01100101000010100111001101010100</v>
      </c>
      <c r="K1308" t="str" cm="1">
        <f t="array" ref="K1308">HexToBits(K1307)</f>
        <v>01111010001010110000000000101011</v>
      </c>
    </row>
    <row r="1309" spans="1:13" x14ac:dyDescent="0.25">
      <c r="A1309" s="7"/>
    </row>
    <row r="1310" spans="1:13" x14ac:dyDescent="0.25">
      <c r="A1310" s="7" t="s">
        <v>364</v>
      </c>
      <c r="B1310" t="str">
        <f>_xlfn.BASE(
  (_xlfn.DECIMAL(C1308,2)+_xlfn.DECIMAL(E1308,2)+_xlfn.DECIMAL(G1308,2)+_xlfn.DECIMAL(I1308,2)+_xlfn.DECIMAL(K1308,2))
  - (INT((_xlfn.DECIMAL(C1308,2)+_xlfn.DECIMAL(E1308,2)+_xlfn.DECIMAL(G1308,2)+_xlfn.DECIMAL(I1308,2)+_xlfn.DECIMAL(K1308,2)) / 4294967296) * 4294967296),
  2,
  32
)</f>
        <v>11011101000000100010111011010010</v>
      </c>
    </row>
    <row r="1311" spans="1:13" x14ac:dyDescent="0.25">
      <c r="A1311" s="7" t="s">
        <v>369</v>
      </c>
      <c r="B1311" t="str" cm="1">
        <f t="array" ref="B1311">BitsToHex(B1310)</f>
        <v>DD022ED2</v>
      </c>
    </row>
    <row r="1314" spans="1:12" x14ac:dyDescent="0.25">
      <c r="A1314" s="7" t="s">
        <v>373</v>
      </c>
      <c r="B1314" s="7"/>
      <c r="C1314" s="29" t="s">
        <v>371</v>
      </c>
      <c r="D1314" s="26" t="s">
        <v>183</v>
      </c>
      <c r="E1314" s="8" t="s">
        <v>372</v>
      </c>
      <c r="J1314" s="32"/>
    </row>
    <row r="1315" spans="1:12" x14ac:dyDescent="0.25">
      <c r="A1315" s="7"/>
    </row>
    <row r="1316" spans="1:12" x14ac:dyDescent="0.25">
      <c r="A1316" s="7"/>
      <c r="C1316" s="27" t="str" cm="1">
        <f t="array" ref="C1316">BSIG0_H(E1303)</f>
        <v>05986524</v>
      </c>
      <c r="E1316" t="str" cm="1">
        <f t="array" ref="E1316">MAJ_H(E1303,F1303,G1303)</f>
        <v>3D5EA7BD</v>
      </c>
    </row>
    <row r="1317" spans="1:12" x14ac:dyDescent="0.25">
      <c r="A1317" s="7" t="s">
        <v>370</v>
      </c>
      <c r="C1317" s="27" t="str" cm="1">
        <f t="array" ref="C1317">HexToBits(C1316)</f>
        <v>00000101100110000110010100100100</v>
      </c>
      <c r="E1317" t="str" cm="1">
        <f t="array" ref="E1317">HexToBits(E1316)</f>
        <v>00111101010111101010011110111101</v>
      </c>
    </row>
    <row r="1318" spans="1:12" x14ac:dyDescent="0.25">
      <c r="A1318" s="7"/>
    </row>
    <row r="1319" spans="1:12" x14ac:dyDescent="0.25">
      <c r="A1319" s="7" t="s">
        <v>373</v>
      </c>
      <c r="B1319" t="str">
        <f>_xlfn.BASE(MOD(_xlfn.DECIMAL(C1317,2) + _xlfn.DECIMAL(E1317,2), 4294967296), 2, 32)</f>
        <v>01000010111101110000110011100001</v>
      </c>
    </row>
    <row r="1320" spans="1:12" x14ac:dyDescent="0.25">
      <c r="A1320" s="7" t="s">
        <v>369</v>
      </c>
      <c r="B1320" t="str" cm="1">
        <f t="array" ref="B1320">BitsToHex(B1319)</f>
        <v>42F70CE1</v>
      </c>
    </row>
    <row r="1321" spans="1:12" x14ac:dyDescent="0.25">
      <c r="A1321" s="7"/>
    </row>
    <row r="1322" spans="1:12" x14ac:dyDescent="0.25">
      <c r="A1322" s="7" t="s">
        <v>374</v>
      </c>
      <c r="C1322" s="28" t="s">
        <v>31</v>
      </c>
      <c r="D1322" s="26" t="s">
        <v>183</v>
      </c>
      <c r="E1322" s="7" t="s">
        <v>227</v>
      </c>
    </row>
    <row r="1323" spans="1:12" x14ac:dyDescent="0.25">
      <c r="A1323" s="7"/>
      <c r="C1323" s="28"/>
      <c r="D1323" s="26"/>
      <c r="E1323" s="7"/>
      <c r="L1323" s="16"/>
    </row>
    <row r="1324" spans="1:12" x14ac:dyDescent="0.25">
      <c r="C1324" s="27" t="str" cm="1">
        <f t="array" ref="C1324">HexToBits(H1303)</f>
        <v>01101011001110010001000000111100</v>
      </c>
      <c r="D1324" s="26"/>
      <c r="E1324" t="str">
        <f>B1310</f>
        <v>11011101000000100010111011010010</v>
      </c>
    </row>
    <row r="1325" spans="1:12" x14ac:dyDescent="0.25">
      <c r="A1325" s="7" t="s">
        <v>374</v>
      </c>
      <c r="B1325" t="str">
        <f>_xlfn.BASE(MOD(_xlfn.DECIMAL(C1324,2) + _xlfn.DECIMAL(E1324,2), 4294967296), 2, 32)</f>
        <v>01001000001110110011111100001110</v>
      </c>
      <c r="D1325" s="16"/>
    </row>
    <row r="1326" spans="1:12" x14ac:dyDescent="0.25">
      <c r="A1326" s="7" t="s">
        <v>375</v>
      </c>
      <c r="B1326" t="str" cm="1">
        <f t="array" ref="B1326">BitsToHex(B1325)</f>
        <v>483B3F0E</v>
      </c>
      <c r="C1326" s="28"/>
      <c r="D1326" s="26"/>
      <c r="E1326" s="7"/>
    </row>
    <row r="1327" spans="1:12" x14ac:dyDescent="0.25">
      <c r="A1327" s="7"/>
      <c r="C1327" s="28"/>
      <c r="D1327" s="26"/>
      <c r="E1327" s="7"/>
    </row>
    <row r="1328" spans="1:12" x14ac:dyDescent="0.25">
      <c r="A1328" s="7" t="s">
        <v>376</v>
      </c>
      <c r="C1328" s="28" t="s">
        <v>377</v>
      </c>
      <c r="D1328" s="26" t="s">
        <v>183</v>
      </c>
      <c r="E1328" s="7" t="s">
        <v>378</v>
      </c>
    </row>
    <row r="1329" spans="1:13" x14ac:dyDescent="0.25">
      <c r="A1329" s="7"/>
      <c r="C1329" s="27" t="str">
        <f>B1310</f>
        <v>11011101000000100010111011010010</v>
      </c>
      <c r="D1329" s="16"/>
      <c r="E1329" t="str">
        <f>B1319</f>
        <v>01000010111101110000110011100001</v>
      </c>
    </row>
    <row r="1330" spans="1:13" x14ac:dyDescent="0.25">
      <c r="A1330" s="7"/>
      <c r="C1330" s="28"/>
      <c r="D1330" s="26"/>
      <c r="E1330" s="7"/>
    </row>
    <row r="1331" spans="1:13" x14ac:dyDescent="0.25">
      <c r="A1331" s="7" t="s">
        <v>376</v>
      </c>
      <c r="B1331" t="str">
        <f>_xlfn.BASE(MOD(_xlfn.DECIMAL(C1329,2) + _xlfn.DECIMAL(E1329,2), 4294967296), 2, 32)</f>
        <v>00011111111110010011101110110011</v>
      </c>
      <c r="C1331" s="28"/>
      <c r="D1331" s="26"/>
      <c r="E1331" s="7"/>
    </row>
    <row r="1332" spans="1:13" x14ac:dyDescent="0.25">
      <c r="A1332" s="7" t="s">
        <v>375</v>
      </c>
      <c r="B1332" t="str" cm="1">
        <f t="array" ref="B1332">BitsToHex(B1331)</f>
        <v>1FF93BB3</v>
      </c>
    </row>
    <row r="1334" spans="1:13" x14ac:dyDescent="0.25">
      <c r="C1334" s="27" t="s">
        <v>225</v>
      </c>
      <c r="E1334" s="24" t="s">
        <v>8</v>
      </c>
      <c r="F1334" s="24" t="s">
        <v>29</v>
      </c>
      <c r="G1334" s="24" t="s">
        <v>30</v>
      </c>
      <c r="H1334" s="24" t="s">
        <v>31</v>
      </c>
      <c r="I1334" s="24" t="s">
        <v>221</v>
      </c>
      <c r="J1334" s="24" t="s">
        <v>222</v>
      </c>
      <c r="K1334" s="24" t="s">
        <v>34</v>
      </c>
      <c r="L1334" s="24" t="s">
        <v>223</v>
      </c>
    </row>
    <row r="1335" spans="1:13" x14ac:dyDescent="0.25">
      <c r="E1335" s="24" t="str">
        <f>B1332</f>
        <v>1FF93BB3</v>
      </c>
      <c r="F1335" s="24" t="str">
        <f>E1303</f>
        <v>3F8FA69C</v>
      </c>
      <c r="G1335" s="24" t="str">
        <f>F1303</f>
        <v>8050ABB7</v>
      </c>
      <c r="H1335" s="24" t="str">
        <f>G1303</f>
        <v>7D7EB7ED</v>
      </c>
      <c r="I1335" s="24" t="str">
        <f>B1326</f>
        <v>483B3F0E</v>
      </c>
      <c r="J1335" s="25" t="str">
        <f>I1303</f>
        <v>E8A1DD4C</v>
      </c>
      <c r="K1335" s="24" t="str">
        <f>J1303</f>
        <v>8B3EA17D</v>
      </c>
      <c r="L1335" s="24" t="str">
        <f>K1303</f>
        <v>0E104217</v>
      </c>
    </row>
    <row r="1336" spans="1:13" x14ac:dyDescent="0.25">
      <c r="A1336" s="2"/>
      <c r="B1336" s="2"/>
      <c r="C1336" s="30" t="s">
        <v>379</v>
      </c>
      <c r="D1336" s="2">
        <v>37</v>
      </c>
      <c r="E1336" s="2"/>
      <c r="F1336" s="2"/>
      <c r="G1336" s="2"/>
      <c r="H1336" s="2"/>
      <c r="I1336" s="2"/>
      <c r="J1336" s="2"/>
      <c r="K1336" s="2"/>
      <c r="L1336" s="2"/>
      <c r="M1336" s="2"/>
    </row>
    <row r="1337" spans="1:13" x14ac:dyDescent="0.25">
      <c r="D1337" t="s">
        <v>380</v>
      </c>
      <c r="E1337">
        <f>D1336+1</f>
        <v>38</v>
      </c>
    </row>
    <row r="1338" spans="1:13" x14ac:dyDescent="0.25">
      <c r="C1338" s="27" t="s">
        <v>224</v>
      </c>
      <c r="E1338" s="24" t="s">
        <v>8</v>
      </c>
      <c r="F1338" s="24" t="s">
        <v>29</v>
      </c>
      <c r="G1338" s="24" t="s">
        <v>30</v>
      </c>
      <c r="H1338" s="24" t="s">
        <v>31</v>
      </c>
      <c r="I1338" s="24" t="s">
        <v>221</v>
      </c>
      <c r="J1338" s="24" t="s">
        <v>222</v>
      </c>
      <c r="K1338" s="24" t="s">
        <v>34</v>
      </c>
      <c r="L1338" s="24" t="s">
        <v>223</v>
      </c>
    </row>
    <row r="1339" spans="1:13" x14ac:dyDescent="0.25">
      <c r="E1339" s="24" t="str">
        <f t="shared" ref="E1339:L1339" si="37">E1335</f>
        <v>1FF93BB3</v>
      </c>
      <c r="F1339" s="24" t="str">
        <f t="shared" si="37"/>
        <v>3F8FA69C</v>
      </c>
      <c r="G1339" s="24" t="str">
        <f t="shared" si="37"/>
        <v>8050ABB7</v>
      </c>
      <c r="H1339" s="24" t="str">
        <f t="shared" si="37"/>
        <v>7D7EB7ED</v>
      </c>
      <c r="I1339" s="25" t="str">
        <f t="shared" si="37"/>
        <v>483B3F0E</v>
      </c>
      <c r="J1339" s="24" t="str">
        <f t="shared" si="37"/>
        <v>E8A1DD4C</v>
      </c>
      <c r="K1339" s="24" t="str">
        <f t="shared" si="37"/>
        <v>8B3EA17D</v>
      </c>
      <c r="L1339" s="24" t="str">
        <f t="shared" si="37"/>
        <v>0E104217</v>
      </c>
    </row>
    <row r="1341" spans="1:13" x14ac:dyDescent="0.25">
      <c r="A1341" s="7" t="s">
        <v>363</v>
      </c>
      <c r="B1341" s="7"/>
      <c r="C1341" s="28" t="s">
        <v>223</v>
      </c>
      <c r="D1341" s="26" t="s">
        <v>183</v>
      </c>
      <c r="E1341" s="8" t="s">
        <v>365</v>
      </c>
      <c r="F1341" s="26" t="s">
        <v>183</v>
      </c>
      <c r="G1341" s="8" t="s">
        <v>366</v>
      </c>
      <c r="H1341" s="26" t="s">
        <v>183</v>
      </c>
      <c r="I1341" s="8" t="s">
        <v>367</v>
      </c>
      <c r="J1341" s="26" t="s">
        <v>183</v>
      </c>
      <c r="K1341" s="8" t="s">
        <v>368</v>
      </c>
    </row>
    <row r="1342" spans="1:13" x14ac:dyDescent="0.25">
      <c r="A1342" s="7"/>
    </row>
    <row r="1343" spans="1:13" x14ac:dyDescent="0.25">
      <c r="A1343" s="7"/>
      <c r="C1343" s="27" t="str">
        <f>L1339</f>
        <v>0E104217</v>
      </c>
      <c r="E1343" t="str" cm="1">
        <f t="array" ref="E1343">BSIG1_H(I1339)</f>
        <v>C5766CBF</v>
      </c>
      <c r="G1343" t="str" cm="1">
        <f t="array" ref="G1343">CH_H(I1339,J1339,K1339)</f>
        <v>CB259D7D</v>
      </c>
      <c r="I1343" t="str" cm="1">
        <f t="array" ref="I1343">INDEX(Folha3!$C$15:$J$22,IF(MOD(E1337,8)=0,0,1)+INT(E1337/8),1+MOD(E1337-1,8))</f>
        <v>766a0abb</v>
      </c>
      <c r="K1343" t="str" cm="1">
        <f t="array" ref="K1343">INDEX(Folha3!$C$38:$BN$38,1,E1337)</f>
        <v>D30FF2AA</v>
      </c>
    </row>
    <row r="1344" spans="1:13" x14ac:dyDescent="0.25">
      <c r="A1344" s="7" t="s">
        <v>370</v>
      </c>
      <c r="C1344" s="27" t="str" cm="1">
        <f t="array" ref="C1344">HexToBits(C1343)</f>
        <v>00001110000100000100001000010111</v>
      </c>
      <c r="E1344" t="str" cm="1">
        <f t="array" ref="E1344">HexToBits(E1343)</f>
        <v>11000101011101100110110010111111</v>
      </c>
      <c r="G1344" t="str" cm="1">
        <f t="array" ref="G1344">HexToBits(G1343)</f>
        <v>11001011001001011001110101111101</v>
      </c>
      <c r="I1344" t="str" cm="1">
        <f t="array" ref="I1344">HexToBits(I1343)</f>
        <v>01110110011010100000101010111011</v>
      </c>
      <c r="K1344" t="str" cm="1">
        <f t="array" ref="K1344">HexToBits(K1343)</f>
        <v>11010011000011111111001010101010</v>
      </c>
    </row>
    <row r="1345" spans="1:12" x14ac:dyDescent="0.25">
      <c r="A1345" s="7"/>
    </row>
    <row r="1346" spans="1:12" x14ac:dyDescent="0.25">
      <c r="A1346" s="7" t="s">
        <v>364</v>
      </c>
      <c r="B1346" t="str">
        <f>_xlfn.BASE(
  (_xlfn.DECIMAL(C1344,2)+_xlfn.DECIMAL(E1344,2)+_xlfn.DECIMAL(G1344,2)+_xlfn.DECIMAL(I1344,2)+_xlfn.DECIMAL(K1344,2))
  - (INT((_xlfn.DECIMAL(C1344,2)+_xlfn.DECIMAL(E1344,2)+_xlfn.DECIMAL(G1344,2)+_xlfn.DECIMAL(I1344,2)+_xlfn.DECIMAL(K1344,2)) / 4294967296) * 4294967296),
  2,
  32
)</f>
        <v>11101000001001100100100110111000</v>
      </c>
    </row>
    <row r="1347" spans="1:12" x14ac:dyDescent="0.25">
      <c r="A1347" s="7" t="s">
        <v>369</v>
      </c>
      <c r="B1347" t="str" cm="1">
        <f t="array" ref="B1347">BitsToHex(B1346)</f>
        <v>E82649B8</v>
      </c>
    </row>
    <row r="1350" spans="1:12" x14ac:dyDescent="0.25">
      <c r="A1350" s="7" t="s">
        <v>373</v>
      </c>
      <c r="B1350" s="7"/>
      <c r="C1350" s="29" t="s">
        <v>371</v>
      </c>
      <c r="D1350" s="26" t="s">
        <v>183</v>
      </c>
      <c r="E1350" s="8" t="s">
        <v>372</v>
      </c>
      <c r="J1350" s="32"/>
    </row>
    <row r="1351" spans="1:12" x14ac:dyDescent="0.25">
      <c r="A1351" s="7"/>
    </row>
    <row r="1352" spans="1:12" x14ac:dyDescent="0.25">
      <c r="A1352" s="7"/>
      <c r="C1352" s="27" t="str" cm="1">
        <f t="array" ref="C1352">BSIG0_H(E1339)</f>
        <v>FE887D5A</v>
      </c>
      <c r="E1352" t="str" cm="1">
        <f t="array" ref="E1352">MAJ_H(E1339,F1339,G1339)</f>
        <v>1FD9ABB7</v>
      </c>
    </row>
    <row r="1353" spans="1:12" x14ac:dyDescent="0.25">
      <c r="A1353" s="7" t="s">
        <v>370</v>
      </c>
      <c r="C1353" s="27" t="str" cm="1">
        <f t="array" ref="C1353">HexToBits(C1352)</f>
        <v>11111110100010000111110101011010</v>
      </c>
      <c r="E1353" t="str" cm="1">
        <f t="array" ref="E1353">HexToBits(E1352)</f>
        <v>00011111110110011010101110110111</v>
      </c>
    </row>
    <row r="1354" spans="1:12" x14ac:dyDescent="0.25">
      <c r="A1354" s="7"/>
    </row>
    <row r="1355" spans="1:12" x14ac:dyDescent="0.25">
      <c r="A1355" s="7" t="s">
        <v>373</v>
      </c>
      <c r="B1355" t="str">
        <f>_xlfn.BASE(MOD(_xlfn.DECIMAL(C1353,2) + _xlfn.DECIMAL(E1353,2), 4294967296), 2, 32)</f>
        <v>00011110011000100010100100010001</v>
      </c>
    </row>
    <row r="1356" spans="1:12" x14ac:dyDescent="0.25">
      <c r="A1356" s="7" t="s">
        <v>369</v>
      </c>
      <c r="B1356" t="str" cm="1">
        <f t="array" ref="B1356">BitsToHex(B1355)</f>
        <v>1E622911</v>
      </c>
    </row>
    <row r="1357" spans="1:12" x14ac:dyDescent="0.25">
      <c r="A1357" s="7"/>
    </row>
    <row r="1358" spans="1:12" x14ac:dyDescent="0.25">
      <c r="A1358" s="7" t="s">
        <v>374</v>
      </c>
      <c r="C1358" s="28" t="s">
        <v>31</v>
      </c>
      <c r="D1358" s="26" t="s">
        <v>183</v>
      </c>
      <c r="E1358" s="7" t="s">
        <v>227</v>
      </c>
    </row>
    <row r="1359" spans="1:12" x14ac:dyDescent="0.25">
      <c r="A1359" s="7"/>
      <c r="C1359" s="28"/>
      <c r="D1359" s="26"/>
      <c r="E1359" s="7"/>
      <c r="L1359" s="16"/>
    </row>
    <row r="1360" spans="1:12" x14ac:dyDescent="0.25">
      <c r="C1360" s="27" t="str" cm="1">
        <f t="array" ref="C1360">HexToBits(H1339)</f>
        <v>01111101011111101011011111101101</v>
      </c>
      <c r="D1360" s="26"/>
      <c r="E1360" t="str">
        <f>B1346</f>
        <v>11101000001001100100100110111000</v>
      </c>
    </row>
    <row r="1361" spans="1:13" x14ac:dyDescent="0.25">
      <c r="A1361" s="7" t="s">
        <v>374</v>
      </c>
      <c r="B1361" t="str">
        <f>_xlfn.BASE(MOD(_xlfn.DECIMAL(C1360,2) + _xlfn.DECIMAL(E1360,2), 4294967296), 2, 32)</f>
        <v>01100101101001010000000110100101</v>
      </c>
      <c r="D1361" s="16"/>
    </row>
    <row r="1362" spans="1:13" x14ac:dyDescent="0.25">
      <c r="A1362" s="7" t="s">
        <v>375</v>
      </c>
      <c r="B1362" t="str" cm="1">
        <f t="array" ref="B1362">BitsToHex(B1361)</f>
        <v>65A501A5</v>
      </c>
      <c r="C1362" s="28"/>
      <c r="D1362" s="26"/>
      <c r="E1362" s="7"/>
    </row>
    <row r="1363" spans="1:13" x14ac:dyDescent="0.25">
      <c r="A1363" s="7"/>
      <c r="C1363" s="28"/>
      <c r="D1363" s="26"/>
      <c r="E1363" s="7"/>
    </row>
    <row r="1364" spans="1:13" x14ac:dyDescent="0.25">
      <c r="A1364" s="7" t="s">
        <v>376</v>
      </c>
      <c r="C1364" s="28" t="s">
        <v>377</v>
      </c>
      <c r="D1364" s="26" t="s">
        <v>183</v>
      </c>
      <c r="E1364" s="7" t="s">
        <v>378</v>
      </c>
    </row>
    <row r="1365" spans="1:13" x14ac:dyDescent="0.25">
      <c r="A1365" s="7"/>
      <c r="C1365" s="27" t="str">
        <f>B1346</f>
        <v>11101000001001100100100110111000</v>
      </c>
      <c r="D1365" s="16"/>
      <c r="E1365" t="str">
        <f>B1355</f>
        <v>00011110011000100010100100010001</v>
      </c>
    </row>
    <row r="1366" spans="1:13" x14ac:dyDescent="0.25">
      <c r="A1366" s="7"/>
      <c r="C1366" s="28"/>
      <c r="D1366" s="26"/>
      <c r="E1366" s="7"/>
    </row>
    <row r="1367" spans="1:13" x14ac:dyDescent="0.25">
      <c r="A1367" s="7" t="s">
        <v>376</v>
      </c>
      <c r="B1367" t="str">
        <f>_xlfn.BASE(MOD(_xlfn.DECIMAL(C1365,2) + _xlfn.DECIMAL(E1365,2), 4294967296), 2, 32)</f>
        <v>00000110100010000111001011001001</v>
      </c>
      <c r="C1367" s="28"/>
      <c r="D1367" s="26"/>
      <c r="E1367" s="7"/>
    </row>
    <row r="1368" spans="1:13" x14ac:dyDescent="0.25">
      <c r="A1368" s="7" t="s">
        <v>375</v>
      </c>
      <c r="B1368" t="str" cm="1">
        <f t="array" ref="B1368">BitsToHex(B1367)</f>
        <v>068872C9</v>
      </c>
    </row>
    <row r="1370" spans="1:13" x14ac:dyDescent="0.25">
      <c r="C1370" s="27" t="s">
        <v>225</v>
      </c>
      <c r="E1370" s="24" t="s">
        <v>8</v>
      </c>
      <c r="F1370" s="24" t="s">
        <v>29</v>
      </c>
      <c r="G1370" s="24" t="s">
        <v>30</v>
      </c>
      <c r="H1370" s="24" t="s">
        <v>31</v>
      </c>
      <c r="I1370" s="24" t="s">
        <v>221</v>
      </c>
      <c r="J1370" s="24" t="s">
        <v>222</v>
      </c>
      <c r="K1370" s="24" t="s">
        <v>34</v>
      </c>
      <c r="L1370" s="24" t="s">
        <v>223</v>
      </c>
    </row>
    <row r="1371" spans="1:13" x14ac:dyDescent="0.25">
      <c r="E1371" s="24" t="str">
        <f>B1368</f>
        <v>068872C9</v>
      </c>
      <c r="F1371" s="24" t="str">
        <f>E1339</f>
        <v>1FF93BB3</v>
      </c>
      <c r="G1371" s="24" t="str">
        <f>F1339</f>
        <v>3F8FA69C</v>
      </c>
      <c r="H1371" s="24" t="str">
        <f>G1339</f>
        <v>8050ABB7</v>
      </c>
      <c r="I1371" s="24" t="str">
        <f>B1362</f>
        <v>65A501A5</v>
      </c>
      <c r="J1371" s="25" t="str">
        <f>I1339</f>
        <v>483B3F0E</v>
      </c>
      <c r="K1371" s="24" t="str">
        <f>J1339</f>
        <v>E8A1DD4C</v>
      </c>
      <c r="L1371" s="24" t="str">
        <f>K1339</f>
        <v>8B3EA17D</v>
      </c>
    </row>
    <row r="1372" spans="1:13" x14ac:dyDescent="0.25">
      <c r="A1372" s="2"/>
      <c r="B1372" s="2"/>
      <c r="C1372" s="30" t="s">
        <v>379</v>
      </c>
      <c r="D1372" s="2">
        <v>38</v>
      </c>
      <c r="E1372" s="2"/>
      <c r="F1372" s="2"/>
      <c r="G1372" s="2"/>
      <c r="H1372" s="2"/>
      <c r="I1372" s="2"/>
      <c r="J1372" s="2"/>
      <c r="K1372" s="2"/>
      <c r="L1372" s="2"/>
      <c r="M1372" s="2"/>
    </row>
    <row r="1373" spans="1:13" x14ac:dyDescent="0.25">
      <c r="D1373" t="s">
        <v>380</v>
      </c>
      <c r="E1373">
        <f>D1372+1</f>
        <v>39</v>
      </c>
    </row>
    <row r="1374" spans="1:13" x14ac:dyDescent="0.25">
      <c r="C1374" s="27" t="s">
        <v>224</v>
      </c>
      <c r="E1374" s="24" t="s">
        <v>8</v>
      </c>
      <c r="F1374" s="24" t="s">
        <v>29</v>
      </c>
      <c r="G1374" s="24" t="s">
        <v>30</v>
      </c>
      <c r="H1374" s="24" t="s">
        <v>31</v>
      </c>
      <c r="I1374" s="24" t="s">
        <v>221</v>
      </c>
      <c r="J1374" s="24" t="s">
        <v>222</v>
      </c>
      <c r="K1374" s="24" t="s">
        <v>34</v>
      </c>
      <c r="L1374" s="24" t="s">
        <v>223</v>
      </c>
    </row>
    <row r="1375" spans="1:13" x14ac:dyDescent="0.25">
      <c r="E1375" s="24" t="str">
        <f t="shared" ref="E1375:L1375" si="38">E1371</f>
        <v>068872C9</v>
      </c>
      <c r="F1375" s="24" t="str">
        <f t="shared" si="38"/>
        <v>1FF93BB3</v>
      </c>
      <c r="G1375" s="24" t="str">
        <f t="shared" si="38"/>
        <v>3F8FA69C</v>
      </c>
      <c r="H1375" s="24" t="str">
        <f t="shared" si="38"/>
        <v>8050ABB7</v>
      </c>
      <c r="I1375" s="25" t="str">
        <f t="shared" si="38"/>
        <v>65A501A5</v>
      </c>
      <c r="J1375" s="24" t="str">
        <f t="shared" si="38"/>
        <v>483B3F0E</v>
      </c>
      <c r="K1375" s="24" t="str">
        <f t="shared" si="38"/>
        <v>E8A1DD4C</v>
      </c>
      <c r="L1375" s="24" t="str">
        <f t="shared" si="38"/>
        <v>8B3EA17D</v>
      </c>
    </row>
    <row r="1377" spans="1:11" x14ac:dyDescent="0.25">
      <c r="A1377" s="7" t="s">
        <v>363</v>
      </c>
      <c r="B1377" s="7"/>
      <c r="C1377" s="28" t="s">
        <v>223</v>
      </c>
      <c r="D1377" s="26" t="s">
        <v>183</v>
      </c>
      <c r="E1377" s="8" t="s">
        <v>365</v>
      </c>
      <c r="F1377" s="26" t="s">
        <v>183</v>
      </c>
      <c r="G1377" s="8" t="s">
        <v>366</v>
      </c>
      <c r="H1377" s="26" t="s">
        <v>183</v>
      </c>
      <c r="I1377" s="8" t="s">
        <v>367</v>
      </c>
      <c r="J1377" s="26" t="s">
        <v>183</v>
      </c>
      <c r="K1377" s="8" t="s">
        <v>368</v>
      </c>
    </row>
    <row r="1378" spans="1:11" x14ac:dyDescent="0.25">
      <c r="A1378" s="7"/>
    </row>
    <row r="1379" spans="1:11" x14ac:dyDescent="0.25">
      <c r="A1379" s="7"/>
      <c r="C1379" s="27" t="str">
        <f>L1375</f>
        <v>8B3EA17D</v>
      </c>
      <c r="E1379" t="str" cm="1">
        <f t="array" ref="E1379">BSIG1_H(I1375)</f>
        <v>73BAF214</v>
      </c>
      <c r="G1379" t="str" cm="1">
        <f t="array" ref="G1379">CH_H(I1375,J1375,K1375)</f>
        <v>C821DD4C</v>
      </c>
      <c r="I1379" t="str" cm="1">
        <f t="array" ref="I1379">INDEX(Folha3!$C$15:$J$22,IF(MOD(E1373,8)=0,0,1)+INT(E1373/8),1+MOD(E1373-1,8))</f>
        <v>81c2c92e</v>
      </c>
      <c r="K1379" t="str" cm="1">
        <f t="array" ref="K1379">INDEX(Folha3!$C$38:$BN$38,1,E1373)</f>
        <v>468726F7</v>
      </c>
    </row>
    <row r="1380" spans="1:11" x14ac:dyDescent="0.25">
      <c r="A1380" s="7" t="s">
        <v>370</v>
      </c>
      <c r="C1380" s="27" t="str" cm="1">
        <f t="array" ref="C1380">HexToBits(C1379)</f>
        <v>10001011001111101010000101111101</v>
      </c>
      <c r="E1380" t="str" cm="1">
        <f t="array" ref="E1380">HexToBits(E1379)</f>
        <v>01110011101110101111001000010100</v>
      </c>
      <c r="G1380" t="str" cm="1">
        <f t="array" ref="G1380">HexToBits(G1379)</f>
        <v>11001000001000011101110101001100</v>
      </c>
      <c r="I1380" t="str" cm="1">
        <f t="array" ref="I1380">HexToBits(I1379)</f>
        <v>10000001110000101100100100101110</v>
      </c>
      <c r="K1380" t="str" cm="1">
        <f t="array" ref="K1380">HexToBits(K1379)</f>
        <v>01000110100001110010011011110111</v>
      </c>
    </row>
    <row r="1381" spans="1:11" x14ac:dyDescent="0.25">
      <c r="A1381" s="7"/>
    </row>
    <row r="1382" spans="1:11" x14ac:dyDescent="0.25">
      <c r="A1382" s="7" t="s">
        <v>364</v>
      </c>
      <c r="B1382" t="str">
        <f>_xlfn.BASE(
  (_xlfn.DECIMAL(C1380,2)+_xlfn.DECIMAL(E1380,2)+_xlfn.DECIMAL(G1380,2)+_xlfn.DECIMAL(I1380,2)+_xlfn.DECIMAL(K1380,2))
  - (INT((_xlfn.DECIMAL(C1380,2)+_xlfn.DECIMAL(E1380,2)+_xlfn.DECIMAL(G1380,2)+_xlfn.DECIMAL(I1380,2)+_xlfn.DECIMAL(K1380,2)) / 4294967296) * 4294967296),
  2,
  32
)</f>
        <v>10001111011001010110000100000010</v>
      </c>
    </row>
    <row r="1383" spans="1:11" x14ac:dyDescent="0.25">
      <c r="A1383" s="7" t="s">
        <v>369</v>
      </c>
      <c r="B1383" t="str" cm="1">
        <f t="array" ref="B1383">BitsToHex(B1382)</f>
        <v>8F656102</v>
      </c>
    </row>
    <row r="1386" spans="1:11" x14ac:dyDescent="0.25">
      <c r="A1386" s="7" t="s">
        <v>373</v>
      </c>
      <c r="B1386" s="7"/>
      <c r="C1386" s="29" t="s">
        <v>371</v>
      </c>
      <c r="D1386" s="26" t="s">
        <v>183</v>
      </c>
      <c r="E1386" s="8" t="s">
        <v>372</v>
      </c>
      <c r="J1386" s="32"/>
    </row>
    <row r="1387" spans="1:11" x14ac:dyDescent="0.25">
      <c r="A1387" s="7"/>
    </row>
    <row r="1388" spans="1:11" x14ac:dyDescent="0.25">
      <c r="A1388" s="7"/>
      <c r="C1388" s="27" t="str" cm="1">
        <f t="array" ref="C1388">BSIG0_H(E1375)</f>
        <v>F6210CEB</v>
      </c>
      <c r="E1388" t="str" cm="1">
        <f t="array" ref="E1388">MAJ_H(E1375,F1375,G1375)</f>
        <v>1F893299</v>
      </c>
    </row>
    <row r="1389" spans="1:11" x14ac:dyDescent="0.25">
      <c r="A1389" s="7" t="s">
        <v>370</v>
      </c>
      <c r="C1389" s="27" t="str" cm="1">
        <f t="array" ref="C1389">HexToBits(C1388)</f>
        <v>11110110001000010000110011101011</v>
      </c>
      <c r="E1389" t="str" cm="1">
        <f t="array" ref="E1389">HexToBits(E1388)</f>
        <v>00011111100010010011001010011001</v>
      </c>
    </row>
    <row r="1390" spans="1:11" x14ac:dyDescent="0.25">
      <c r="A1390" s="7"/>
    </row>
    <row r="1391" spans="1:11" x14ac:dyDescent="0.25">
      <c r="A1391" s="7" t="s">
        <v>373</v>
      </c>
      <c r="B1391" t="str">
        <f>_xlfn.BASE(MOD(_xlfn.DECIMAL(C1389,2) + _xlfn.DECIMAL(E1389,2), 4294967296), 2, 32)</f>
        <v>00010101101010100011111110000100</v>
      </c>
    </row>
    <row r="1392" spans="1:11" x14ac:dyDescent="0.25">
      <c r="A1392" s="7" t="s">
        <v>369</v>
      </c>
      <c r="B1392" t="str" cm="1">
        <f t="array" ref="B1392">BitsToHex(B1391)</f>
        <v>15AA3F84</v>
      </c>
    </row>
    <row r="1393" spans="1:13" x14ac:dyDescent="0.25">
      <c r="A1393" s="7"/>
    </row>
    <row r="1394" spans="1:13" x14ac:dyDescent="0.25">
      <c r="A1394" s="7" t="s">
        <v>374</v>
      </c>
      <c r="C1394" s="28" t="s">
        <v>31</v>
      </c>
      <c r="D1394" s="26" t="s">
        <v>183</v>
      </c>
      <c r="E1394" s="7" t="s">
        <v>227</v>
      </c>
    </row>
    <row r="1395" spans="1:13" x14ac:dyDescent="0.25">
      <c r="A1395" s="7"/>
      <c r="C1395" s="28"/>
      <c r="D1395" s="26"/>
      <c r="E1395" s="7"/>
      <c r="L1395" s="16"/>
    </row>
    <row r="1396" spans="1:13" x14ac:dyDescent="0.25">
      <c r="C1396" s="27" t="str" cm="1">
        <f t="array" ref="C1396">HexToBits(H1375)</f>
        <v>10000000010100001010101110110111</v>
      </c>
      <c r="D1396" s="26"/>
      <c r="E1396" t="str">
        <f>B1382</f>
        <v>10001111011001010110000100000010</v>
      </c>
    </row>
    <row r="1397" spans="1:13" x14ac:dyDescent="0.25">
      <c r="A1397" s="7" t="s">
        <v>374</v>
      </c>
      <c r="B1397" t="str">
        <f>_xlfn.BASE(MOD(_xlfn.DECIMAL(C1396,2) + _xlfn.DECIMAL(E1396,2), 4294967296), 2, 32)</f>
        <v>00001111101101100000110010111001</v>
      </c>
      <c r="D1397" s="16"/>
    </row>
    <row r="1398" spans="1:13" x14ac:dyDescent="0.25">
      <c r="A1398" s="7" t="s">
        <v>375</v>
      </c>
      <c r="B1398" t="str" cm="1">
        <f t="array" ref="B1398">BitsToHex(B1397)</f>
        <v>0FB60CB9</v>
      </c>
      <c r="C1398" s="28"/>
      <c r="D1398" s="26"/>
      <c r="E1398" s="7"/>
    </row>
    <row r="1399" spans="1:13" x14ac:dyDescent="0.25">
      <c r="A1399" s="7"/>
      <c r="C1399" s="28"/>
      <c r="D1399" s="26"/>
      <c r="E1399" s="7"/>
    </row>
    <row r="1400" spans="1:13" x14ac:dyDescent="0.25">
      <c r="A1400" s="7" t="s">
        <v>376</v>
      </c>
      <c r="C1400" s="28" t="s">
        <v>377</v>
      </c>
      <c r="D1400" s="26" t="s">
        <v>183</v>
      </c>
      <c r="E1400" s="7" t="s">
        <v>378</v>
      </c>
    </row>
    <row r="1401" spans="1:13" x14ac:dyDescent="0.25">
      <c r="A1401" s="7"/>
      <c r="C1401" s="27" t="str">
        <f>B1382</f>
        <v>10001111011001010110000100000010</v>
      </c>
      <c r="D1401" s="16"/>
      <c r="E1401" t="str">
        <f>B1391</f>
        <v>00010101101010100011111110000100</v>
      </c>
    </row>
    <row r="1402" spans="1:13" x14ac:dyDescent="0.25">
      <c r="A1402" s="7"/>
      <c r="C1402" s="28"/>
      <c r="D1402" s="26"/>
      <c r="E1402" s="7"/>
    </row>
    <row r="1403" spans="1:13" x14ac:dyDescent="0.25">
      <c r="A1403" s="7" t="s">
        <v>376</v>
      </c>
      <c r="B1403" t="str">
        <f>_xlfn.BASE(MOD(_xlfn.DECIMAL(C1401,2) + _xlfn.DECIMAL(E1401,2), 4294967296), 2, 32)</f>
        <v>10100101000011111010000010000110</v>
      </c>
      <c r="C1403" s="28"/>
      <c r="D1403" s="26"/>
      <c r="E1403" s="7"/>
    </row>
    <row r="1404" spans="1:13" x14ac:dyDescent="0.25">
      <c r="A1404" s="7" t="s">
        <v>375</v>
      </c>
      <c r="B1404" t="str" cm="1">
        <f t="array" ref="B1404">BitsToHex(B1403)</f>
        <v>A50FA086</v>
      </c>
    </row>
    <row r="1406" spans="1:13" x14ac:dyDescent="0.25">
      <c r="C1406" s="27" t="s">
        <v>225</v>
      </c>
      <c r="E1406" s="24" t="s">
        <v>8</v>
      </c>
      <c r="F1406" s="24" t="s">
        <v>29</v>
      </c>
      <c r="G1406" s="24" t="s">
        <v>30</v>
      </c>
      <c r="H1406" s="24" t="s">
        <v>31</v>
      </c>
      <c r="I1406" s="24" t="s">
        <v>221</v>
      </c>
      <c r="J1406" s="24" t="s">
        <v>222</v>
      </c>
      <c r="K1406" s="24" t="s">
        <v>34</v>
      </c>
      <c r="L1406" s="24" t="s">
        <v>223</v>
      </c>
    </row>
    <row r="1407" spans="1:13" x14ac:dyDescent="0.25">
      <c r="E1407" s="24" t="str">
        <f>B1404</f>
        <v>A50FA086</v>
      </c>
      <c r="F1407" s="24" t="str">
        <f>E1375</f>
        <v>068872C9</v>
      </c>
      <c r="G1407" s="24" t="str">
        <f>F1375</f>
        <v>1FF93BB3</v>
      </c>
      <c r="H1407" s="24" t="str">
        <f>G1375</f>
        <v>3F8FA69C</v>
      </c>
      <c r="I1407" s="24" t="str">
        <f>B1398</f>
        <v>0FB60CB9</v>
      </c>
      <c r="J1407" s="25" t="str">
        <f>I1375</f>
        <v>65A501A5</v>
      </c>
      <c r="K1407" s="24" t="str">
        <f>J1375</f>
        <v>483B3F0E</v>
      </c>
      <c r="L1407" s="24" t="str">
        <f>K1375</f>
        <v>E8A1DD4C</v>
      </c>
    </row>
    <row r="1408" spans="1:13" x14ac:dyDescent="0.25">
      <c r="A1408" s="2"/>
      <c r="B1408" s="2"/>
      <c r="C1408" s="30" t="s">
        <v>379</v>
      </c>
      <c r="D1408" s="2">
        <v>39</v>
      </c>
      <c r="E1408" s="2"/>
      <c r="F1408" s="2"/>
      <c r="G1408" s="2"/>
      <c r="H1408" s="2"/>
      <c r="I1408" s="2"/>
      <c r="J1408" s="2"/>
      <c r="K1408" s="2"/>
      <c r="L1408" s="2"/>
      <c r="M1408" s="2"/>
    </row>
    <row r="1409" spans="1:12" x14ac:dyDescent="0.25">
      <c r="D1409" t="s">
        <v>380</v>
      </c>
      <c r="E1409">
        <f>D1408+1</f>
        <v>40</v>
      </c>
    </row>
    <row r="1410" spans="1:12" x14ac:dyDescent="0.25">
      <c r="C1410" s="27" t="s">
        <v>224</v>
      </c>
      <c r="E1410" s="24" t="s">
        <v>8</v>
      </c>
      <c r="F1410" s="24" t="s">
        <v>29</v>
      </c>
      <c r="G1410" s="24" t="s">
        <v>30</v>
      </c>
      <c r="H1410" s="24" t="s">
        <v>31</v>
      </c>
      <c r="I1410" s="24" t="s">
        <v>221</v>
      </c>
      <c r="J1410" s="24" t="s">
        <v>222</v>
      </c>
      <c r="K1410" s="24" t="s">
        <v>34</v>
      </c>
      <c r="L1410" s="24" t="s">
        <v>223</v>
      </c>
    </row>
    <row r="1411" spans="1:12" x14ac:dyDescent="0.25">
      <c r="E1411" s="24" t="str">
        <f t="shared" ref="E1411:L1411" si="39">E1407</f>
        <v>A50FA086</v>
      </c>
      <c r="F1411" s="24" t="str">
        <f t="shared" si="39"/>
        <v>068872C9</v>
      </c>
      <c r="G1411" s="24" t="str">
        <f t="shared" si="39"/>
        <v>1FF93BB3</v>
      </c>
      <c r="H1411" s="24" t="str">
        <f t="shared" si="39"/>
        <v>3F8FA69C</v>
      </c>
      <c r="I1411" s="25" t="str">
        <f t="shared" si="39"/>
        <v>0FB60CB9</v>
      </c>
      <c r="J1411" s="24" t="str">
        <f t="shared" si="39"/>
        <v>65A501A5</v>
      </c>
      <c r="K1411" s="24" t="str">
        <f t="shared" si="39"/>
        <v>483B3F0E</v>
      </c>
      <c r="L1411" s="24" t="str">
        <f t="shared" si="39"/>
        <v>E8A1DD4C</v>
      </c>
    </row>
    <row r="1413" spans="1:12" x14ac:dyDescent="0.25">
      <c r="A1413" s="7" t="s">
        <v>363</v>
      </c>
      <c r="B1413" s="7"/>
      <c r="C1413" s="28" t="s">
        <v>223</v>
      </c>
      <c r="D1413" s="26" t="s">
        <v>183</v>
      </c>
      <c r="E1413" s="8" t="s">
        <v>365</v>
      </c>
      <c r="F1413" s="26" t="s">
        <v>183</v>
      </c>
      <c r="G1413" s="8" t="s">
        <v>366</v>
      </c>
      <c r="H1413" s="26" t="s">
        <v>183</v>
      </c>
      <c r="I1413" s="8" t="s">
        <v>367</v>
      </c>
      <c r="J1413" s="26" t="s">
        <v>183</v>
      </c>
      <c r="K1413" s="8" t="s">
        <v>368</v>
      </c>
    </row>
    <row r="1414" spans="1:12" x14ac:dyDescent="0.25">
      <c r="A1414" s="7"/>
    </row>
    <row r="1415" spans="1:12" x14ac:dyDescent="0.25">
      <c r="A1415" s="7"/>
      <c r="C1415" s="27" t="str">
        <f>L1411</f>
        <v>E8A1DD4C</v>
      </c>
      <c r="E1415" t="str" cm="1">
        <f t="array" ref="E1415">BSIG1_H(I1411)</f>
        <v>A8197274</v>
      </c>
      <c r="G1415" t="str" cm="1">
        <f t="array" ref="G1415">CH_H(I1411,J1411,K1411)</f>
        <v>45AD33A7</v>
      </c>
      <c r="I1415" t="str" cm="1">
        <f t="array" ref="I1415">INDEX(Folha3!$C$15:$J$22,IF(MOD(E1409,8)=0,0,1)+INT(E1409/8),1+MOD(E1409-1,8))</f>
        <v>92722c85</v>
      </c>
      <c r="K1415" t="str" cm="1">
        <f t="array" ref="K1415">INDEX(Folha3!$C$38:$BN$38,1,E1409)</f>
        <v>AA05343A</v>
      </c>
    </row>
    <row r="1416" spans="1:12" x14ac:dyDescent="0.25">
      <c r="A1416" s="7" t="s">
        <v>370</v>
      </c>
      <c r="C1416" s="27" t="str" cm="1">
        <f t="array" ref="C1416">HexToBits(C1415)</f>
        <v>11101000101000011101110101001100</v>
      </c>
      <c r="E1416" t="str" cm="1">
        <f t="array" ref="E1416">HexToBits(E1415)</f>
        <v>10101000000110010111001001110100</v>
      </c>
      <c r="G1416" t="str" cm="1">
        <f t="array" ref="G1416">HexToBits(G1415)</f>
        <v>01000101101011010011001110100111</v>
      </c>
      <c r="I1416" t="str" cm="1">
        <f t="array" ref="I1416">HexToBits(I1415)</f>
        <v>10010010011100100010110010000101</v>
      </c>
      <c r="K1416" t="str" cm="1">
        <f t="array" ref="K1416">HexToBits(K1415)</f>
        <v>10101010000001010011010000111010</v>
      </c>
    </row>
    <row r="1417" spans="1:12" x14ac:dyDescent="0.25">
      <c r="A1417" s="7"/>
    </row>
    <row r="1418" spans="1:12" x14ac:dyDescent="0.25">
      <c r="A1418" s="7" t="s">
        <v>364</v>
      </c>
      <c r="B1418" t="str">
        <f>_xlfn.BASE(
  (_xlfn.DECIMAL(C1416,2)+_xlfn.DECIMAL(E1416,2)+_xlfn.DECIMAL(G1416,2)+_xlfn.DECIMAL(I1416,2)+_xlfn.DECIMAL(K1416,2))
  - (INT((_xlfn.DECIMAL(C1416,2)+_xlfn.DECIMAL(E1416,2)+_xlfn.DECIMAL(G1416,2)+_xlfn.DECIMAL(I1416,2)+_xlfn.DECIMAL(K1416,2)) / 4294967296) * 4294967296),
  2,
  32
)</f>
        <v>00010010110111111110010000100110</v>
      </c>
    </row>
    <row r="1419" spans="1:12" x14ac:dyDescent="0.25">
      <c r="A1419" s="7" t="s">
        <v>369</v>
      </c>
      <c r="B1419" t="str" cm="1">
        <f t="array" ref="B1419">BitsToHex(B1418)</f>
        <v>12DFE426</v>
      </c>
    </row>
    <row r="1422" spans="1:12" x14ac:dyDescent="0.25">
      <c r="A1422" s="7" t="s">
        <v>373</v>
      </c>
      <c r="B1422" s="7"/>
      <c r="C1422" s="29" t="s">
        <v>371</v>
      </c>
      <c r="D1422" s="26" t="s">
        <v>183</v>
      </c>
      <c r="E1422" s="8" t="s">
        <v>372</v>
      </c>
      <c r="J1422" s="32"/>
    </row>
    <row r="1423" spans="1:12" x14ac:dyDescent="0.25">
      <c r="A1423" s="7"/>
    </row>
    <row r="1424" spans="1:12" x14ac:dyDescent="0.25">
      <c r="A1424" s="7"/>
      <c r="C1424" s="27" t="str" cm="1">
        <f t="array" ref="C1424">BSIG0_H(E1411)</f>
        <v>93F4DAC8</v>
      </c>
      <c r="E1424" t="str" cm="1">
        <f t="array" ref="E1424">MAJ_H(E1411,F1411,G1411)</f>
        <v>07893283</v>
      </c>
    </row>
    <row r="1425" spans="1:12" x14ac:dyDescent="0.25">
      <c r="A1425" s="7" t="s">
        <v>370</v>
      </c>
      <c r="C1425" s="27" t="str" cm="1">
        <f t="array" ref="C1425">HexToBits(C1424)</f>
        <v>10010011111101001101101011001000</v>
      </c>
      <c r="E1425" t="str" cm="1">
        <f t="array" ref="E1425">HexToBits(E1424)</f>
        <v>00000111100010010011001010000011</v>
      </c>
    </row>
    <row r="1426" spans="1:12" x14ac:dyDescent="0.25">
      <c r="A1426" s="7"/>
    </row>
    <row r="1427" spans="1:12" x14ac:dyDescent="0.25">
      <c r="A1427" s="7" t="s">
        <v>373</v>
      </c>
      <c r="B1427" t="str">
        <f>_xlfn.BASE(MOD(_xlfn.DECIMAL(C1425,2) + _xlfn.DECIMAL(E1425,2), 4294967296), 2, 32)</f>
        <v>10011011011111100000110101001011</v>
      </c>
    </row>
    <row r="1428" spans="1:12" x14ac:dyDescent="0.25">
      <c r="A1428" s="7" t="s">
        <v>369</v>
      </c>
      <c r="B1428" t="str" cm="1">
        <f t="array" ref="B1428">BitsToHex(B1427)</f>
        <v>9B7E0D4B</v>
      </c>
    </row>
    <row r="1429" spans="1:12" x14ac:dyDescent="0.25">
      <c r="A1429" s="7"/>
    </row>
    <row r="1430" spans="1:12" x14ac:dyDescent="0.25">
      <c r="A1430" s="7" t="s">
        <v>374</v>
      </c>
      <c r="C1430" s="28" t="s">
        <v>31</v>
      </c>
      <c r="D1430" s="26" t="s">
        <v>183</v>
      </c>
      <c r="E1430" s="7" t="s">
        <v>227</v>
      </c>
    </row>
    <row r="1431" spans="1:12" x14ac:dyDescent="0.25">
      <c r="A1431" s="7"/>
      <c r="C1431" s="28"/>
      <c r="D1431" s="26"/>
      <c r="E1431" s="7"/>
      <c r="L1431" s="16"/>
    </row>
    <row r="1432" spans="1:12" x14ac:dyDescent="0.25">
      <c r="C1432" s="27" t="str" cm="1">
        <f t="array" ref="C1432">HexToBits(H1411)</f>
        <v>00111111100011111010011010011100</v>
      </c>
      <c r="D1432" s="26"/>
      <c r="E1432" t="str">
        <f>B1418</f>
        <v>00010010110111111110010000100110</v>
      </c>
    </row>
    <row r="1433" spans="1:12" x14ac:dyDescent="0.25">
      <c r="A1433" s="7" t="s">
        <v>374</v>
      </c>
      <c r="B1433" t="str">
        <f>_xlfn.BASE(MOD(_xlfn.DECIMAL(C1432,2) + _xlfn.DECIMAL(E1432,2), 4294967296), 2, 32)</f>
        <v>01010010011011111000101011000010</v>
      </c>
      <c r="D1433" s="16"/>
    </row>
    <row r="1434" spans="1:12" x14ac:dyDescent="0.25">
      <c r="A1434" s="7" t="s">
        <v>375</v>
      </c>
      <c r="B1434" t="str" cm="1">
        <f t="array" ref="B1434">BitsToHex(B1433)</f>
        <v>526F8AC2</v>
      </c>
      <c r="C1434" s="28"/>
      <c r="D1434" s="26"/>
      <c r="E1434" s="7"/>
    </row>
    <row r="1435" spans="1:12" x14ac:dyDescent="0.25">
      <c r="A1435" s="7"/>
      <c r="C1435" s="28"/>
      <c r="D1435" s="26"/>
      <c r="E1435" s="7"/>
    </row>
    <row r="1436" spans="1:12" x14ac:dyDescent="0.25">
      <c r="A1436" s="7" t="s">
        <v>376</v>
      </c>
      <c r="C1436" s="28" t="s">
        <v>377</v>
      </c>
      <c r="D1436" s="26" t="s">
        <v>183</v>
      </c>
      <c r="E1436" s="7" t="s">
        <v>378</v>
      </c>
    </row>
    <row r="1437" spans="1:12" x14ac:dyDescent="0.25">
      <c r="A1437" s="7"/>
      <c r="C1437" s="27" t="str">
        <f>B1418</f>
        <v>00010010110111111110010000100110</v>
      </c>
      <c r="D1437" s="16"/>
      <c r="E1437" t="str">
        <f>B1427</f>
        <v>10011011011111100000110101001011</v>
      </c>
    </row>
    <row r="1438" spans="1:12" x14ac:dyDescent="0.25">
      <c r="A1438" s="7"/>
      <c r="C1438" s="28"/>
      <c r="D1438" s="26"/>
      <c r="E1438" s="7"/>
    </row>
    <row r="1439" spans="1:12" x14ac:dyDescent="0.25">
      <c r="A1439" s="7" t="s">
        <v>376</v>
      </c>
      <c r="B1439" t="str">
        <f>_xlfn.BASE(MOD(_xlfn.DECIMAL(C1437,2) + _xlfn.DECIMAL(E1437,2), 4294967296), 2, 32)</f>
        <v>10101110010111011111000101110001</v>
      </c>
      <c r="C1439" s="28"/>
      <c r="D1439" s="26"/>
      <c r="E1439" s="7"/>
    </row>
    <row r="1440" spans="1:12" x14ac:dyDescent="0.25">
      <c r="A1440" s="7" t="s">
        <v>375</v>
      </c>
      <c r="B1440" t="str" cm="1">
        <f t="array" ref="B1440">BitsToHex(B1439)</f>
        <v>AE5DF171</v>
      </c>
    </row>
    <row r="1442" spans="1:13" x14ac:dyDescent="0.25">
      <c r="C1442" s="27" t="s">
        <v>225</v>
      </c>
      <c r="E1442" s="24" t="s">
        <v>8</v>
      </c>
      <c r="F1442" s="24" t="s">
        <v>29</v>
      </c>
      <c r="G1442" s="24" t="s">
        <v>30</v>
      </c>
      <c r="H1442" s="24" t="s">
        <v>31</v>
      </c>
      <c r="I1442" s="24" t="s">
        <v>221</v>
      </c>
      <c r="J1442" s="24" t="s">
        <v>222</v>
      </c>
      <c r="K1442" s="24" t="s">
        <v>34</v>
      </c>
      <c r="L1442" s="24" t="s">
        <v>223</v>
      </c>
    </row>
    <row r="1443" spans="1:13" x14ac:dyDescent="0.25">
      <c r="E1443" s="24" t="str">
        <f>B1440</f>
        <v>AE5DF171</v>
      </c>
      <c r="F1443" s="24" t="str">
        <f>E1411</f>
        <v>A50FA086</v>
      </c>
      <c r="G1443" s="24" t="str">
        <f>F1411</f>
        <v>068872C9</v>
      </c>
      <c r="H1443" s="24" t="str">
        <f>G1411</f>
        <v>1FF93BB3</v>
      </c>
      <c r="I1443" s="24" t="str">
        <f>B1434</f>
        <v>526F8AC2</v>
      </c>
      <c r="J1443" s="25" t="str">
        <f>I1411</f>
        <v>0FB60CB9</v>
      </c>
      <c r="K1443" s="24" t="str">
        <f>J1411</f>
        <v>65A501A5</v>
      </c>
      <c r="L1443" s="24" t="str">
        <f>K1411</f>
        <v>483B3F0E</v>
      </c>
    </row>
    <row r="1444" spans="1:13" x14ac:dyDescent="0.25">
      <c r="A1444" s="2"/>
      <c r="B1444" s="2"/>
      <c r="C1444" s="30" t="s">
        <v>379</v>
      </c>
      <c r="D1444" s="2">
        <v>40</v>
      </c>
      <c r="E1444" s="2"/>
      <c r="F1444" s="2"/>
      <c r="G1444" s="2"/>
      <c r="H1444" s="2"/>
      <c r="I1444" s="2"/>
      <c r="J1444" s="2"/>
      <c r="K1444" s="2"/>
      <c r="L1444" s="2"/>
      <c r="M1444" s="2"/>
    </row>
    <row r="1445" spans="1:13" x14ac:dyDescent="0.25">
      <c r="D1445" t="s">
        <v>380</v>
      </c>
      <c r="E1445">
        <f>D1444+1</f>
        <v>41</v>
      </c>
    </row>
    <row r="1446" spans="1:13" x14ac:dyDescent="0.25">
      <c r="C1446" s="27" t="s">
        <v>224</v>
      </c>
      <c r="E1446" s="24" t="s">
        <v>8</v>
      </c>
      <c r="F1446" s="24" t="s">
        <v>29</v>
      </c>
      <c r="G1446" s="24" t="s">
        <v>30</v>
      </c>
      <c r="H1446" s="24" t="s">
        <v>31</v>
      </c>
      <c r="I1446" s="24" t="s">
        <v>221</v>
      </c>
      <c r="J1446" s="24" t="s">
        <v>222</v>
      </c>
      <c r="K1446" s="24" t="s">
        <v>34</v>
      </c>
      <c r="L1446" s="24" t="s">
        <v>223</v>
      </c>
    </row>
    <row r="1447" spans="1:13" x14ac:dyDescent="0.25">
      <c r="E1447" s="24" t="str">
        <f t="shared" ref="E1447:L1447" si="40">E1443</f>
        <v>AE5DF171</v>
      </c>
      <c r="F1447" s="24" t="str">
        <f t="shared" si="40"/>
        <v>A50FA086</v>
      </c>
      <c r="G1447" s="24" t="str">
        <f t="shared" si="40"/>
        <v>068872C9</v>
      </c>
      <c r="H1447" s="24" t="str">
        <f t="shared" si="40"/>
        <v>1FF93BB3</v>
      </c>
      <c r="I1447" s="25" t="str">
        <f t="shared" si="40"/>
        <v>526F8AC2</v>
      </c>
      <c r="J1447" s="24" t="str">
        <f t="shared" si="40"/>
        <v>0FB60CB9</v>
      </c>
      <c r="K1447" s="24" t="str">
        <f t="shared" si="40"/>
        <v>65A501A5</v>
      </c>
      <c r="L1447" s="24" t="str">
        <f t="shared" si="40"/>
        <v>483B3F0E</v>
      </c>
    </row>
    <row r="1449" spans="1:13" x14ac:dyDescent="0.25">
      <c r="A1449" s="7" t="s">
        <v>363</v>
      </c>
      <c r="B1449" s="7"/>
      <c r="C1449" s="28" t="s">
        <v>223</v>
      </c>
      <c r="D1449" s="26" t="s">
        <v>183</v>
      </c>
      <c r="E1449" s="8" t="s">
        <v>365</v>
      </c>
      <c r="F1449" s="26" t="s">
        <v>183</v>
      </c>
      <c r="G1449" s="8" t="s">
        <v>366</v>
      </c>
      <c r="H1449" s="26" t="s">
        <v>183</v>
      </c>
      <c r="I1449" s="8" t="s">
        <v>367</v>
      </c>
      <c r="J1449" s="26" t="s">
        <v>183</v>
      </c>
      <c r="K1449" s="8" t="s">
        <v>368</v>
      </c>
    </row>
    <row r="1450" spans="1:13" x14ac:dyDescent="0.25">
      <c r="A1450" s="7"/>
    </row>
    <row r="1451" spans="1:13" x14ac:dyDescent="0.25">
      <c r="A1451" s="7"/>
      <c r="C1451" s="27" t="str">
        <f>L1447</f>
        <v>483B3F0E</v>
      </c>
      <c r="E1451" t="str" cm="1">
        <f t="array" ref="E1451">BSIG1_H(I1447)</f>
        <v>66C692F3</v>
      </c>
      <c r="G1451" t="str" cm="1">
        <f t="array" ref="G1451">CH_H(I1447,J1447,K1447)</f>
        <v>27A609A5</v>
      </c>
      <c r="I1451" t="str" cm="1">
        <f t="array" ref="I1451">INDEX(Folha3!$C$15:$J$22,IF(MOD(E1445,8)=0,0,1)+INT(E1445/8),1+MOD(E1445-1,8))</f>
        <v>a2bfe8a1</v>
      </c>
      <c r="K1451" t="str" cm="1">
        <f t="array" ref="K1451">INDEX(Folha3!$C$38:$BN$38,1,E1445)</f>
        <v>C38E6070</v>
      </c>
    </row>
    <row r="1452" spans="1:13" x14ac:dyDescent="0.25">
      <c r="A1452" s="7" t="s">
        <v>370</v>
      </c>
      <c r="C1452" s="27" t="str" cm="1">
        <f t="array" ref="C1452">HexToBits(C1451)</f>
        <v>01001000001110110011111100001110</v>
      </c>
      <c r="E1452" t="str" cm="1">
        <f t="array" ref="E1452">HexToBits(E1451)</f>
        <v>01100110110001101001001011110011</v>
      </c>
      <c r="G1452" t="str" cm="1">
        <f t="array" ref="G1452">HexToBits(G1451)</f>
        <v>00100111101001100000100110100101</v>
      </c>
      <c r="I1452" t="str" cm="1">
        <f t="array" ref="I1452">HexToBits(I1451)</f>
        <v>10100010101111111110100010100001</v>
      </c>
      <c r="K1452" t="str" cm="1">
        <f t="array" ref="K1452">HexToBits(K1451)</f>
        <v>11000011100011100110000001110000</v>
      </c>
    </row>
    <row r="1453" spans="1:13" x14ac:dyDescent="0.25">
      <c r="A1453" s="7"/>
    </row>
    <row r="1454" spans="1:13" x14ac:dyDescent="0.25">
      <c r="A1454" s="7" t="s">
        <v>364</v>
      </c>
      <c r="B1454" t="str">
        <f>_xlfn.BASE(
  (_xlfn.DECIMAL(C1452,2)+_xlfn.DECIMAL(E1452,2)+_xlfn.DECIMAL(G1452,2)+_xlfn.DECIMAL(I1452,2)+_xlfn.DECIMAL(K1452,2))
  - (INT((_xlfn.DECIMAL(C1452,2)+_xlfn.DECIMAL(E1452,2)+_xlfn.DECIMAL(G1452,2)+_xlfn.DECIMAL(I1452,2)+_xlfn.DECIMAL(K1452,2)) / 4294967296) * 4294967296),
  2,
  32
)</f>
        <v>00111100111101100010010010110111</v>
      </c>
    </row>
    <row r="1455" spans="1:13" x14ac:dyDescent="0.25">
      <c r="A1455" s="7" t="s">
        <v>369</v>
      </c>
      <c r="B1455" t="str" cm="1">
        <f t="array" ref="B1455">BitsToHex(B1454)</f>
        <v>3CF624B7</v>
      </c>
    </row>
    <row r="1458" spans="1:12" x14ac:dyDescent="0.25">
      <c r="A1458" s="7" t="s">
        <v>373</v>
      </c>
      <c r="B1458" s="7"/>
      <c r="C1458" s="29" t="s">
        <v>371</v>
      </c>
      <c r="D1458" s="26" t="s">
        <v>183</v>
      </c>
      <c r="E1458" s="8" t="s">
        <v>372</v>
      </c>
      <c r="J1458" s="32"/>
    </row>
    <row r="1459" spans="1:12" x14ac:dyDescent="0.25">
      <c r="A1459" s="7"/>
    </row>
    <row r="1460" spans="1:12" x14ac:dyDescent="0.25">
      <c r="A1460" s="7"/>
      <c r="C1460" s="27" t="str" cm="1">
        <f t="array" ref="C1460">BSIG0_H(E1447)</f>
        <v>97DFC80A</v>
      </c>
      <c r="E1460" t="str" cm="1">
        <f t="array" ref="E1460">MAJ_H(E1447,F1447,G1447)</f>
        <v>A60DF0C1</v>
      </c>
    </row>
    <row r="1461" spans="1:12" x14ac:dyDescent="0.25">
      <c r="A1461" s="7" t="s">
        <v>370</v>
      </c>
      <c r="C1461" s="27" t="str" cm="1">
        <f t="array" ref="C1461">HexToBits(C1460)</f>
        <v>10010111110111111100100000001010</v>
      </c>
      <c r="E1461" t="str" cm="1">
        <f t="array" ref="E1461">HexToBits(E1460)</f>
        <v>10100110000011011111000011000001</v>
      </c>
    </row>
    <row r="1462" spans="1:12" x14ac:dyDescent="0.25">
      <c r="A1462" s="7"/>
    </row>
    <row r="1463" spans="1:12" x14ac:dyDescent="0.25">
      <c r="A1463" s="7" t="s">
        <v>373</v>
      </c>
      <c r="B1463" t="str">
        <f>_xlfn.BASE(MOD(_xlfn.DECIMAL(C1461,2) + _xlfn.DECIMAL(E1461,2), 4294967296), 2, 32)</f>
        <v>00111101111011011011100011001011</v>
      </c>
    </row>
    <row r="1464" spans="1:12" x14ac:dyDescent="0.25">
      <c r="A1464" s="7" t="s">
        <v>369</v>
      </c>
      <c r="B1464" t="str" cm="1">
        <f t="array" ref="B1464">BitsToHex(B1463)</f>
        <v>3DEDB8CB</v>
      </c>
    </row>
    <row r="1465" spans="1:12" x14ac:dyDescent="0.25">
      <c r="A1465" s="7"/>
    </row>
    <row r="1466" spans="1:12" x14ac:dyDescent="0.25">
      <c r="A1466" s="7" t="s">
        <v>374</v>
      </c>
      <c r="C1466" s="28" t="s">
        <v>31</v>
      </c>
      <c r="D1466" s="26" t="s">
        <v>183</v>
      </c>
      <c r="E1466" s="7" t="s">
        <v>227</v>
      </c>
    </row>
    <row r="1467" spans="1:12" x14ac:dyDescent="0.25">
      <c r="A1467" s="7"/>
      <c r="C1467" s="28"/>
      <c r="D1467" s="26"/>
      <c r="E1467" s="7"/>
      <c r="L1467" s="16"/>
    </row>
    <row r="1468" spans="1:12" x14ac:dyDescent="0.25">
      <c r="C1468" s="27" t="str" cm="1">
        <f t="array" ref="C1468">HexToBits(H1447)</f>
        <v>00011111111110010011101110110011</v>
      </c>
      <c r="D1468" s="26"/>
      <c r="E1468" t="str">
        <f>B1454</f>
        <v>00111100111101100010010010110111</v>
      </c>
    </row>
    <row r="1469" spans="1:12" x14ac:dyDescent="0.25">
      <c r="A1469" s="7" t="s">
        <v>374</v>
      </c>
      <c r="B1469" t="str">
        <f>_xlfn.BASE(MOD(_xlfn.DECIMAL(C1468,2) + _xlfn.DECIMAL(E1468,2), 4294967296), 2, 32)</f>
        <v>01011100111011110110000001101010</v>
      </c>
      <c r="D1469" s="16"/>
    </row>
    <row r="1470" spans="1:12" x14ac:dyDescent="0.25">
      <c r="A1470" s="7" t="s">
        <v>375</v>
      </c>
      <c r="B1470" t="str" cm="1">
        <f t="array" ref="B1470">BitsToHex(B1469)</f>
        <v>5CEF606A</v>
      </c>
      <c r="C1470" s="28"/>
      <c r="D1470" s="26"/>
      <c r="E1470" s="7"/>
    </row>
    <row r="1471" spans="1:12" x14ac:dyDescent="0.25">
      <c r="A1471" s="7"/>
      <c r="C1471" s="28"/>
      <c r="D1471" s="26"/>
      <c r="E1471" s="7"/>
    </row>
    <row r="1472" spans="1:12" x14ac:dyDescent="0.25">
      <c r="A1472" s="7" t="s">
        <v>376</v>
      </c>
      <c r="C1472" s="28" t="s">
        <v>377</v>
      </c>
      <c r="D1472" s="26" t="s">
        <v>183</v>
      </c>
      <c r="E1472" s="7" t="s">
        <v>378</v>
      </c>
    </row>
    <row r="1473" spans="1:13" x14ac:dyDescent="0.25">
      <c r="A1473" s="7"/>
      <c r="C1473" s="27" t="str">
        <f>B1454</f>
        <v>00111100111101100010010010110111</v>
      </c>
      <c r="D1473" s="16"/>
      <c r="E1473" t="str">
        <f>B1463</f>
        <v>00111101111011011011100011001011</v>
      </c>
    </row>
    <row r="1474" spans="1:13" x14ac:dyDescent="0.25">
      <c r="A1474" s="7"/>
      <c r="C1474" s="28"/>
      <c r="D1474" s="26"/>
      <c r="E1474" s="7"/>
    </row>
    <row r="1475" spans="1:13" x14ac:dyDescent="0.25">
      <c r="A1475" s="7" t="s">
        <v>376</v>
      </c>
      <c r="B1475" t="str">
        <f>_xlfn.BASE(MOD(_xlfn.DECIMAL(C1473,2) + _xlfn.DECIMAL(E1473,2), 4294967296), 2, 32)</f>
        <v>01111010111000111101110110000010</v>
      </c>
      <c r="C1475" s="28"/>
      <c r="D1475" s="26"/>
      <c r="E1475" s="7"/>
    </row>
    <row r="1476" spans="1:13" x14ac:dyDescent="0.25">
      <c r="A1476" s="7" t="s">
        <v>375</v>
      </c>
      <c r="B1476" t="str" cm="1">
        <f t="array" ref="B1476">BitsToHex(B1475)</f>
        <v>7AE3DD82</v>
      </c>
    </row>
    <row r="1478" spans="1:13" x14ac:dyDescent="0.25">
      <c r="C1478" s="27" t="s">
        <v>225</v>
      </c>
      <c r="E1478" s="24" t="s">
        <v>8</v>
      </c>
      <c r="F1478" s="24" t="s">
        <v>29</v>
      </c>
      <c r="G1478" s="24" t="s">
        <v>30</v>
      </c>
      <c r="H1478" s="24" t="s">
        <v>31</v>
      </c>
      <c r="I1478" s="24" t="s">
        <v>221</v>
      </c>
      <c r="J1478" s="24" t="s">
        <v>222</v>
      </c>
      <c r="K1478" s="24" t="s">
        <v>34</v>
      </c>
      <c r="L1478" s="24" t="s">
        <v>223</v>
      </c>
    </row>
    <row r="1479" spans="1:13" x14ac:dyDescent="0.25">
      <c r="E1479" s="24" t="str">
        <f>B1476</f>
        <v>7AE3DD82</v>
      </c>
      <c r="F1479" s="24" t="str">
        <f>E1447</f>
        <v>AE5DF171</v>
      </c>
      <c r="G1479" s="24" t="str">
        <f>F1447</f>
        <v>A50FA086</v>
      </c>
      <c r="H1479" s="24" t="str">
        <f>G1447</f>
        <v>068872C9</v>
      </c>
      <c r="I1479" s="24" t="str">
        <f>B1470</f>
        <v>5CEF606A</v>
      </c>
      <c r="J1479" s="25" t="str">
        <f>I1447</f>
        <v>526F8AC2</v>
      </c>
      <c r="K1479" s="24" t="str">
        <f>J1447</f>
        <v>0FB60CB9</v>
      </c>
      <c r="L1479" s="24" t="str">
        <f>K1447</f>
        <v>65A501A5</v>
      </c>
    </row>
    <row r="1480" spans="1:13" x14ac:dyDescent="0.25">
      <c r="A1480" s="2"/>
      <c r="B1480" s="2"/>
      <c r="C1480" s="30" t="s">
        <v>379</v>
      </c>
      <c r="D1480" s="2">
        <f>+D1444+1</f>
        <v>41</v>
      </c>
      <c r="E1480" s="2"/>
      <c r="F1480" s="2"/>
      <c r="G1480" s="2"/>
      <c r="H1480" s="2"/>
      <c r="I1480" s="2"/>
      <c r="J1480" s="2"/>
      <c r="K1480" s="2"/>
      <c r="L1480" s="2"/>
      <c r="M1480" s="2"/>
    </row>
    <row r="1481" spans="1:13" x14ac:dyDescent="0.25">
      <c r="D1481" t="s">
        <v>380</v>
      </c>
      <c r="E1481">
        <f>D1480+1</f>
        <v>42</v>
      </c>
    </row>
    <row r="1482" spans="1:13" x14ac:dyDescent="0.25">
      <c r="C1482" s="27" t="s">
        <v>224</v>
      </c>
      <c r="E1482" s="24" t="s">
        <v>8</v>
      </c>
      <c r="F1482" s="24" t="s">
        <v>29</v>
      </c>
      <c r="G1482" s="24" t="s">
        <v>30</v>
      </c>
      <c r="H1482" s="24" t="s">
        <v>31</v>
      </c>
      <c r="I1482" s="24" t="s">
        <v>221</v>
      </c>
      <c r="J1482" s="24" t="s">
        <v>222</v>
      </c>
      <c r="K1482" s="24" t="s">
        <v>34</v>
      </c>
      <c r="L1482" s="24" t="s">
        <v>223</v>
      </c>
    </row>
    <row r="1483" spans="1:13" x14ac:dyDescent="0.25">
      <c r="E1483" s="24" t="str">
        <f t="shared" ref="E1483:L1483" si="41">E1479</f>
        <v>7AE3DD82</v>
      </c>
      <c r="F1483" s="24" t="str">
        <f t="shared" si="41"/>
        <v>AE5DF171</v>
      </c>
      <c r="G1483" s="24" t="str">
        <f t="shared" si="41"/>
        <v>A50FA086</v>
      </c>
      <c r="H1483" s="24" t="str">
        <f t="shared" si="41"/>
        <v>068872C9</v>
      </c>
      <c r="I1483" s="25" t="str">
        <f t="shared" si="41"/>
        <v>5CEF606A</v>
      </c>
      <c r="J1483" s="24" t="str">
        <f t="shared" si="41"/>
        <v>526F8AC2</v>
      </c>
      <c r="K1483" s="24" t="str">
        <f t="shared" si="41"/>
        <v>0FB60CB9</v>
      </c>
      <c r="L1483" s="24" t="str">
        <f t="shared" si="41"/>
        <v>65A501A5</v>
      </c>
    </row>
    <row r="1485" spans="1:13" x14ac:dyDescent="0.25">
      <c r="A1485" s="7" t="s">
        <v>363</v>
      </c>
      <c r="B1485" s="7"/>
      <c r="C1485" s="28" t="s">
        <v>223</v>
      </c>
      <c r="D1485" s="26" t="s">
        <v>183</v>
      </c>
      <c r="E1485" s="8" t="s">
        <v>365</v>
      </c>
      <c r="F1485" s="26" t="s">
        <v>183</v>
      </c>
      <c r="G1485" s="8" t="s">
        <v>366</v>
      </c>
      <c r="H1485" s="26" t="s">
        <v>183</v>
      </c>
      <c r="I1485" s="8" t="s">
        <v>367</v>
      </c>
      <c r="J1485" s="26" t="s">
        <v>183</v>
      </c>
      <c r="K1485" s="8" t="s">
        <v>368</v>
      </c>
    </row>
    <row r="1486" spans="1:13" x14ac:dyDescent="0.25">
      <c r="A1486" s="7"/>
    </row>
    <row r="1487" spans="1:13" x14ac:dyDescent="0.25">
      <c r="A1487" s="7"/>
      <c r="C1487" s="27" t="str">
        <f>L1483</f>
        <v>65A501A5</v>
      </c>
      <c r="E1487" t="str" cm="1">
        <f t="array" ref="E1487">BSIG1_H(I1483)</f>
        <v>D3881543</v>
      </c>
      <c r="G1487" t="str" cm="1">
        <f t="array" ref="G1487">CH_H(I1483,J1483,K1483)</f>
        <v>537F0CD3</v>
      </c>
      <c r="I1487" t="str" cm="1">
        <f t="array" ref="I1487">INDEX(Folha3!$C$15:$J$22,IF(MOD(E1481,8)=0,0,1)+INT(E1481/8),1+MOD(E1481-1,8))</f>
        <v>a81a664b</v>
      </c>
      <c r="K1487" t="str" cm="1">
        <f t="array" ref="K1487">INDEX(Folha3!$C$38:$BN$38,1,E1481)</f>
        <v>901FF249</v>
      </c>
    </row>
    <row r="1488" spans="1:13" x14ac:dyDescent="0.25">
      <c r="A1488" s="7" t="s">
        <v>370</v>
      </c>
      <c r="C1488" s="27" t="str" cm="1">
        <f t="array" ref="C1488">HexToBits(C1487)</f>
        <v>01100101101001010000000110100101</v>
      </c>
      <c r="E1488" t="str" cm="1">
        <f t="array" ref="E1488">HexToBits(E1487)</f>
        <v>11010011100010000001010101000011</v>
      </c>
      <c r="G1488" t="str" cm="1">
        <f t="array" ref="G1488">HexToBits(G1487)</f>
        <v>01010011011111110000110011010011</v>
      </c>
      <c r="I1488" t="str" cm="1">
        <f t="array" ref="I1488">HexToBits(I1487)</f>
        <v>10101000000110100110011001001011</v>
      </c>
      <c r="K1488" t="str" cm="1">
        <f t="array" ref="K1488">HexToBits(K1487)</f>
        <v>10010000000111111111001001001001</v>
      </c>
    </row>
    <row r="1489" spans="1:12" x14ac:dyDescent="0.25">
      <c r="A1489" s="7"/>
    </row>
    <row r="1490" spans="1:12" x14ac:dyDescent="0.25">
      <c r="A1490" s="7" t="s">
        <v>364</v>
      </c>
      <c r="B1490" t="str">
        <f>_xlfn.BASE(
  (_xlfn.DECIMAL(C1488,2)+_xlfn.DECIMAL(E1488,2)+_xlfn.DECIMAL(G1488,2)+_xlfn.DECIMAL(I1488,2)+_xlfn.DECIMAL(K1488,2))
  - (INT((_xlfn.DECIMAL(C1488,2)+_xlfn.DECIMAL(E1488,2)+_xlfn.DECIMAL(G1488,2)+_xlfn.DECIMAL(I1488,2)+_xlfn.DECIMAL(K1488,2)) / 4294967296) * 4294967296),
  2,
  32
)</f>
        <v>11000100111001100111110001001111</v>
      </c>
    </row>
    <row r="1491" spans="1:12" x14ac:dyDescent="0.25">
      <c r="A1491" s="7" t="s">
        <v>369</v>
      </c>
      <c r="B1491" t="str" cm="1">
        <f t="array" ref="B1491">BitsToHex(B1490)</f>
        <v>C4E67C4F</v>
      </c>
    </row>
    <row r="1494" spans="1:12" x14ac:dyDescent="0.25">
      <c r="A1494" s="7" t="s">
        <v>373</v>
      </c>
      <c r="B1494" s="7"/>
      <c r="C1494" s="29" t="s">
        <v>371</v>
      </c>
      <c r="D1494" s="26" t="s">
        <v>183</v>
      </c>
      <c r="E1494" s="8" t="s">
        <v>372</v>
      </c>
      <c r="J1494" s="32"/>
    </row>
    <row r="1495" spans="1:12" x14ac:dyDescent="0.25">
      <c r="A1495" s="7"/>
    </row>
    <row r="1496" spans="1:12" x14ac:dyDescent="0.25">
      <c r="A1496" s="7"/>
      <c r="C1496" s="27" t="str" cm="1">
        <f t="array" ref="C1496">BSIG0_H(E1483)</f>
        <v>FDDD2995</v>
      </c>
      <c r="E1496" t="str" cm="1">
        <f t="array" ref="E1496">MAJ_H(E1483,F1483,G1483)</f>
        <v>AE4FF182</v>
      </c>
    </row>
    <row r="1497" spans="1:12" x14ac:dyDescent="0.25">
      <c r="A1497" s="7" t="s">
        <v>370</v>
      </c>
      <c r="C1497" s="27" t="str" cm="1">
        <f t="array" ref="C1497">HexToBits(C1496)</f>
        <v>11111101110111010010100110010101</v>
      </c>
      <c r="E1497" t="str" cm="1">
        <f t="array" ref="E1497">HexToBits(E1496)</f>
        <v>10101110010011111111000110000010</v>
      </c>
    </row>
    <row r="1498" spans="1:12" x14ac:dyDescent="0.25">
      <c r="A1498" s="7"/>
    </row>
    <row r="1499" spans="1:12" x14ac:dyDescent="0.25">
      <c r="A1499" s="7" t="s">
        <v>373</v>
      </c>
      <c r="B1499" t="str">
        <f>_xlfn.BASE(MOD(_xlfn.DECIMAL(C1497,2) + _xlfn.DECIMAL(E1497,2), 4294967296), 2, 32)</f>
        <v>10101100001011010001101100010111</v>
      </c>
    </row>
    <row r="1500" spans="1:12" x14ac:dyDescent="0.25">
      <c r="A1500" s="7" t="s">
        <v>369</v>
      </c>
      <c r="B1500" t="str" cm="1">
        <f t="array" ref="B1500">BitsToHex(B1499)</f>
        <v>AC2D1B17</v>
      </c>
    </row>
    <row r="1501" spans="1:12" x14ac:dyDescent="0.25">
      <c r="A1501" s="7"/>
    </row>
    <row r="1502" spans="1:12" x14ac:dyDescent="0.25">
      <c r="A1502" s="7" t="s">
        <v>374</v>
      </c>
      <c r="C1502" s="28" t="s">
        <v>31</v>
      </c>
      <c r="D1502" s="26" t="s">
        <v>183</v>
      </c>
      <c r="E1502" s="7" t="s">
        <v>227</v>
      </c>
    </row>
    <row r="1503" spans="1:12" x14ac:dyDescent="0.25">
      <c r="A1503" s="7"/>
      <c r="C1503" s="28"/>
      <c r="D1503" s="26"/>
      <c r="E1503" s="7"/>
      <c r="L1503" s="16"/>
    </row>
    <row r="1504" spans="1:12" x14ac:dyDescent="0.25">
      <c r="C1504" s="27" t="str" cm="1">
        <f t="array" ref="C1504">HexToBits(H1483)</f>
        <v>00000110100010000111001011001001</v>
      </c>
      <c r="D1504" s="26"/>
      <c r="E1504" t="str">
        <f>B1490</f>
        <v>11000100111001100111110001001111</v>
      </c>
    </row>
    <row r="1505" spans="1:13" x14ac:dyDescent="0.25">
      <c r="A1505" s="7" t="s">
        <v>374</v>
      </c>
      <c r="B1505" t="str">
        <f>_xlfn.BASE(MOD(_xlfn.DECIMAL(C1504,2) + _xlfn.DECIMAL(E1504,2), 4294967296), 2, 32)</f>
        <v>11001011011011101110111100011000</v>
      </c>
      <c r="D1505" s="16"/>
    </row>
    <row r="1506" spans="1:13" x14ac:dyDescent="0.25">
      <c r="A1506" s="7" t="s">
        <v>375</v>
      </c>
      <c r="B1506" t="str" cm="1">
        <f t="array" ref="B1506">BitsToHex(B1505)</f>
        <v>CB6EEF18</v>
      </c>
      <c r="C1506" s="28"/>
      <c r="D1506" s="26"/>
      <c r="E1506" s="7"/>
    </row>
    <row r="1507" spans="1:13" x14ac:dyDescent="0.25">
      <c r="A1507" s="7"/>
      <c r="C1507" s="28"/>
      <c r="D1507" s="26"/>
      <c r="E1507" s="7"/>
    </row>
    <row r="1508" spans="1:13" x14ac:dyDescent="0.25">
      <c r="A1508" s="7" t="s">
        <v>376</v>
      </c>
      <c r="C1508" s="28" t="s">
        <v>377</v>
      </c>
      <c r="D1508" s="26" t="s">
        <v>183</v>
      </c>
      <c r="E1508" s="7" t="s">
        <v>378</v>
      </c>
    </row>
    <row r="1509" spans="1:13" x14ac:dyDescent="0.25">
      <c r="A1509" s="7"/>
      <c r="C1509" s="27" t="str">
        <f>B1490</f>
        <v>11000100111001100111110001001111</v>
      </c>
      <c r="D1509" s="16"/>
      <c r="E1509" t="str">
        <f>B1499</f>
        <v>10101100001011010001101100010111</v>
      </c>
    </row>
    <row r="1510" spans="1:13" x14ac:dyDescent="0.25">
      <c r="A1510" s="7"/>
      <c r="C1510" s="28"/>
      <c r="D1510" s="26"/>
      <c r="E1510" s="7"/>
    </row>
    <row r="1511" spans="1:13" x14ac:dyDescent="0.25">
      <c r="A1511" s="7" t="s">
        <v>376</v>
      </c>
      <c r="B1511" t="str">
        <f>_xlfn.BASE(MOD(_xlfn.DECIMAL(C1509,2) + _xlfn.DECIMAL(E1509,2), 4294967296), 2, 32)</f>
        <v>01110001000100111001011101100110</v>
      </c>
      <c r="C1511" s="28"/>
      <c r="D1511" s="26"/>
      <c r="E1511" s="7"/>
    </row>
    <row r="1512" spans="1:13" x14ac:dyDescent="0.25">
      <c r="A1512" s="7" t="s">
        <v>375</v>
      </c>
      <c r="B1512" t="str" cm="1">
        <f t="array" ref="B1512">BitsToHex(B1511)</f>
        <v>71139766</v>
      </c>
    </row>
    <row r="1514" spans="1:13" x14ac:dyDescent="0.25">
      <c r="C1514" s="27" t="s">
        <v>225</v>
      </c>
      <c r="E1514" s="24" t="s">
        <v>8</v>
      </c>
      <c r="F1514" s="24" t="s">
        <v>29</v>
      </c>
      <c r="G1514" s="24" t="s">
        <v>30</v>
      </c>
      <c r="H1514" s="24" t="s">
        <v>31</v>
      </c>
      <c r="I1514" s="24" t="s">
        <v>221</v>
      </c>
      <c r="J1514" s="24" t="s">
        <v>222</v>
      </c>
      <c r="K1514" s="24" t="s">
        <v>34</v>
      </c>
      <c r="L1514" s="24" t="s">
        <v>223</v>
      </c>
    </row>
    <row r="1515" spans="1:13" x14ac:dyDescent="0.25">
      <c r="E1515" s="24" t="str">
        <f>B1512</f>
        <v>71139766</v>
      </c>
      <c r="F1515" s="24" t="str">
        <f>E1483</f>
        <v>7AE3DD82</v>
      </c>
      <c r="G1515" s="24" t="str">
        <f>F1483</f>
        <v>AE5DF171</v>
      </c>
      <c r="H1515" s="24" t="str">
        <f>G1483</f>
        <v>A50FA086</v>
      </c>
      <c r="I1515" s="24" t="str">
        <f>B1506</f>
        <v>CB6EEF18</v>
      </c>
      <c r="J1515" s="25" t="str">
        <f>I1483</f>
        <v>5CEF606A</v>
      </c>
      <c r="K1515" s="24" t="str">
        <f>J1483</f>
        <v>526F8AC2</v>
      </c>
      <c r="L1515" s="24" t="str">
        <f>K1483</f>
        <v>0FB60CB9</v>
      </c>
    </row>
    <row r="1516" spans="1:13" x14ac:dyDescent="0.25">
      <c r="A1516" s="2"/>
      <c r="B1516" s="2"/>
      <c r="C1516" s="30" t="s">
        <v>379</v>
      </c>
      <c r="D1516" s="2">
        <v>42</v>
      </c>
      <c r="E1516" s="2"/>
      <c r="F1516" s="2"/>
      <c r="G1516" s="2"/>
      <c r="H1516" s="2"/>
      <c r="I1516" s="2"/>
      <c r="J1516" s="2"/>
      <c r="K1516" s="2"/>
      <c r="L1516" s="2"/>
      <c r="M1516" s="2"/>
    </row>
    <row r="1517" spans="1:13" x14ac:dyDescent="0.25">
      <c r="D1517" t="s">
        <v>380</v>
      </c>
      <c r="E1517">
        <f>D1516+1</f>
        <v>43</v>
      </c>
    </row>
    <row r="1518" spans="1:13" x14ac:dyDescent="0.25">
      <c r="C1518" s="27" t="s">
        <v>224</v>
      </c>
      <c r="E1518" s="24" t="s">
        <v>8</v>
      </c>
      <c r="F1518" s="24" t="s">
        <v>29</v>
      </c>
      <c r="G1518" s="24" t="s">
        <v>30</v>
      </c>
      <c r="H1518" s="24" t="s">
        <v>31</v>
      </c>
      <c r="I1518" s="24" t="s">
        <v>221</v>
      </c>
      <c r="J1518" s="24" t="s">
        <v>222</v>
      </c>
      <c r="K1518" s="24" t="s">
        <v>34</v>
      </c>
      <c r="L1518" s="24" t="s">
        <v>223</v>
      </c>
    </row>
    <row r="1519" spans="1:13" x14ac:dyDescent="0.25">
      <c r="E1519" s="24" t="str">
        <f t="shared" ref="E1519:L1519" si="42">E1515</f>
        <v>71139766</v>
      </c>
      <c r="F1519" s="24" t="str">
        <f t="shared" si="42"/>
        <v>7AE3DD82</v>
      </c>
      <c r="G1519" s="24" t="str">
        <f t="shared" si="42"/>
        <v>AE5DF171</v>
      </c>
      <c r="H1519" s="24" t="str">
        <f t="shared" si="42"/>
        <v>A50FA086</v>
      </c>
      <c r="I1519" s="25" t="str">
        <f t="shared" si="42"/>
        <v>CB6EEF18</v>
      </c>
      <c r="J1519" s="24" t="str">
        <f t="shared" si="42"/>
        <v>5CEF606A</v>
      </c>
      <c r="K1519" s="24" t="str">
        <f t="shared" si="42"/>
        <v>526F8AC2</v>
      </c>
      <c r="L1519" s="24" t="str">
        <f t="shared" si="42"/>
        <v>0FB60CB9</v>
      </c>
    </row>
    <row r="1521" spans="1:11" x14ac:dyDescent="0.25">
      <c r="A1521" s="7" t="s">
        <v>363</v>
      </c>
      <c r="B1521" s="7"/>
      <c r="C1521" s="28" t="s">
        <v>223</v>
      </c>
      <c r="D1521" s="26" t="s">
        <v>183</v>
      </c>
      <c r="E1521" s="8" t="s">
        <v>365</v>
      </c>
      <c r="F1521" s="26" t="s">
        <v>183</v>
      </c>
      <c r="G1521" s="8" t="s">
        <v>366</v>
      </c>
      <c r="H1521" s="26" t="s">
        <v>183</v>
      </c>
      <c r="I1521" s="8" t="s">
        <v>367</v>
      </c>
      <c r="J1521" s="26" t="s">
        <v>183</v>
      </c>
      <c r="K1521" s="8" t="s">
        <v>368</v>
      </c>
    </row>
    <row r="1522" spans="1:11" x14ac:dyDescent="0.25">
      <c r="A1522" s="7"/>
    </row>
    <row r="1523" spans="1:11" x14ac:dyDescent="0.25">
      <c r="A1523" s="7"/>
      <c r="C1523" s="27" t="str">
        <f>L1519</f>
        <v>0FB60CB9</v>
      </c>
      <c r="E1523" t="str" cm="1">
        <f t="array" ref="E1523">BSIG1_H(I1519)</f>
        <v>37435A04</v>
      </c>
      <c r="G1523" t="str" cm="1">
        <f t="array" ref="G1523">CH_H(I1519,J1519,K1519)</f>
        <v>586F60CA</v>
      </c>
      <c r="I1523" t="str" cm="1">
        <f t="array" ref="I1523">INDEX(Folha3!$C$15:$J$22,IF(MOD(E1517,8)=0,0,1)+INT(E1517/8),1+MOD(E1517-1,8))</f>
        <v>c24b8b70</v>
      </c>
      <c r="K1523" t="str" cm="1">
        <f t="array" ref="K1523">INDEX(Folha3!$C$38:$BN$38,1,E1517)</f>
        <v>26F43BFA</v>
      </c>
    </row>
    <row r="1524" spans="1:11" x14ac:dyDescent="0.25">
      <c r="A1524" s="7" t="s">
        <v>370</v>
      </c>
      <c r="C1524" s="27" t="str" cm="1">
        <f t="array" ref="C1524">HexToBits(C1523)</f>
        <v>00001111101101100000110010111001</v>
      </c>
      <c r="E1524" t="str" cm="1">
        <f t="array" ref="E1524">HexToBits(E1523)</f>
        <v>00110111010000110101101000000100</v>
      </c>
      <c r="G1524" t="str" cm="1">
        <f t="array" ref="G1524">HexToBits(G1523)</f>
        <v>01011000011011110110000011001010</v>
      </c>
      <c r="I1524" t="str" cm="1">
        <f t="array" ref="I1524">HexToBits(I1523)</f>
        <v>11000010010010111000101101110000</v>
      </c>
      <c r="K1524" t="str" cm="1">
        <f t="array" ref="K1524">HexToBits(K1523)</f>
        <v>00100110111101000011101111111010</v>
      </c>
    </row>
    <row r="1525" spans="1:11" x14ac:dyDescent="0.25">
      <c r="A1525" s="7"/>
    </row>
    <row r="1526" spans="1:11" x14ac:dyDescent="0.25">
      <c r="A1526" s="7" t="s">
        <v>364</v>
      </c>
      <c r="B1526" t="str">
        <f>_xlfn.BASE(
  (_xlfn.DECIMAL(C1524,2)+_xlfn.DECIMAL(E1524,2)+_xlfn.DECIMAL(G1524,2)+_xlfn.DECIMAL(I1524,2)+_xlfn.DECIMAL(K1524,2))
  - (INT((_xlfn.DECIMAL(C1524,2)+_xlfn.DECIMAL(E1524,2)+_xlfn.DECIMAL(G1524,2)+_xlfn.DECIMAL(I1524,2)+_xlfn.DECIMAL(K1524,2)) / 4294967296) * 4294967296),
  2,
  32
)</f>
        <v>10001000101010001000111011110001</v>
      </c>
    </row>
    <row r="1527" spans="1:11" x14ac:dyDescent="0.25">
      <c r="A1527" s="7" t="s">
        <v>369</v>
      </c>
      <c r="B1527" t="str" cm="1">
        <f t="array" ref="B1527">BitsToHex(B1526)</f>
        <v>88A88EF1</v>
      </c>
    </row>
    <row r="1530" spans="1:11" x14ac:dyDescent="0.25">
      <c r="A1530" s="7" t="s">
        <v>373</v>
      </c>
      <c r="B1530" s="7"/>
      <c r="C1530" s="29" t="s">
        <v>371</v>
      </c>
      <c r="D1530" s="26" t="s">
        <v>183</v>
      </c>
      <c r="E1530" s="8" t="s">
        <v>372</v>
      </c>
      <c r="J1530" s="32"/>
    </row>
    <row r="1531" spans="1:11" x14ac:dyDescent="0.25">
      <c r="A1531" s="7"/>
    </row>
    <row r="1532" spans="1:11" x14ac:dyDescent="0.25">
      <c r="A1532" s="7"/>
      <c r="C1532" s="27" t="str" cm="1">
        <f t="array" ref="C1532">BSIG0_H(E1519)</f>
        <v>692AF481</v>
      </c>
      <c r="E1532" t="str" cm="1">
        <f t="array" ref="E1532">MAJ_H(E1519,F1519,G1519)</f>
        <v>7A53D562</v>
      </c>
    </row>
    <row r="1533" spans="1:11" x14ac:dyDescent="0.25">
      <c r="A1533" s="7" t="s">
        <v>370</v>
      </c>
      <c r="C1533" s="27" t="str" cm="1">
        <f t="array" ref="C1533">HexToBits(C1532)</f>
        <v>01101001001010101111010010000001</v>
      </c>
      <c r="E1533" t="str" cm="1">
        <f t="array" ref="E1533">HexToBits(E1532)</f>
        <v>01111010010100111101010101100010</v>
      </c>
    </row>
    <row r="1534" spans="1:11" x14ac:dyDescent="0.25">
      <c r="A1534" s="7"/>
    </row>
    <row r="1535" spans="1:11" x14ac:dyDescent="0.25">
      <c r="A1535" s="7" t="s">
        <v>373</v>
      </c>
      <c r="B1535" t="str">
        <f>_xlfn.BASE(MOD(_xlfn.DECIMAL(C1533,2) + _xlfn.DECIMAL(E1533,2), 4294967296), 2, 32)</f>
        <v>11100011011111101100100111100011</v>
      </c>
    </row>
    <row r="1536" spans="1:11" x14ac:dyDescent="0.25">
      <c r="A1536" s="7" t="s">
        <v>369</v>
      </c>
      <c r="B1536" t="str" cm="1">
        <f t="array" ref="B1536">BitsToHex(B1535)</f>
        <v>E37EC9E3</v>
      </c>
    </row>
    <row r="1537" spans="1:13" x14ac:dyDescent="0.25">
      <c r="A1537" s="7"/>
    </row>
    <row r="1538" spans="1:13" x14ac:dyDescent="0.25">
      <c r="A1538" s="7" t="s">
        <v>374</v>
      </c>
      <c r="C1538" s="28" t="s">
        <v>31</v>
      </c>
      <c r="D1538" s="26" t="s">
        <v>183</v>
      </c>
      <c r="E1538" s="7" t="s">
        <v>227</v>
      </c>
    </row>
    <row r="1539" spans="1:13" x14ac:dyDescent="0.25">
      <c r="A1539" s="7"/>
      <c r="C1539" s="28"/>
      <c r="D1539" s="26"/>
      <c r="E1539" s="7"/>
      <c r="L1539" s="16"/>
    </row>
    <row r="1540" spans="1:13" x14ac:dyDescent="0.25">
      <c r="C1540" s="27" t="str" cm="1">
        <f t="array" ref="C1540">HexToBits(H1519)</f>
        <v>10100101000011111010000010000110</v>
      </c>
      <c r="D1540" s="26"/>
      <c r="E1540" t="str">
        <f>B1526</f>
        <v>10001000101010001000111011110001</v>
      </c>
    </row>
    <row r="1541" spans="1:13" x14ac:dyDescent="0.25">
      <c r="A1541" s="7" t="s">
        <v>374</v>
      </c>
      <c r="B1541" t="str">
        <f>_xlfn.BASE(MOD(_xlfn.DECIMAL(C1540,2) + _xlfn.DECIMAL(E1540,2), 4294967296), 2, 32)</f>
        <v>00101101101110000010111101110111</v>
      </c>
      <c r="D1541" s="16"/>
    </row>
    <row r="1542" spans="1:13" x14ac:dyDescent="0.25">
      <c r="A1542" s="7" t="s">
        <v>375</v>
      </c>
      <c r="B1542" t="str" cm="1">
        <f t="array" ref="B1542">BitsToHex(B1541)</f>
        <v>2DB82F77</v>
      </c>
      <c r="C1542" s="28"/>
      <c r="D1542" s="26"/>
      <c r="E1542" s="7"/>
    </row>
    <row r="1543" spans="1:13" x14ac:dyDescent="0.25">
      <c r="A1543" s="7"/>
      <c r="C1543" s="28"/>
      <c r="D1543" s="26"/>
      <c r="E1543" s="7"/>
    </row>
    <row r="1544" spans="1:13" x14ac:dyDescent="0.25">
      <c r="A1544" s="7" t="s">
        <v>376</v>
      </c>
      <c r="C1544" s="28" t="s">
        <v>377</v>
      </c>
      <c r="D1544" s="26" t="s">
        <v>183</v>
      </c>
      <c r="E1544" s="7" t="s">
        <v>378</v>
      </c>
    </row>
    <row r="1545" spans="1:13" x14ac:dyDescent="0.25">
      <c r="A1545" s="7"/>
      <c r="C1545" s="27" t="str">
        <f>B1526</f>
        <v>10001000101010001000111011110001</v>
      </c>
      <c r="D1545" s="16"/>
      <c r="E1545" t="str">
        <f>B1535</f>
        <v>11100011011111101100100111100011</v>
      </c>
    </row>
    <row r="1546" spans="1:13" x14ac:dyDescent="0.25">
      <c r="A1546" s="7"/>
      <c r="C1546" s="28"/>
      <c r="D1546" s="26"/>
      <c r="E1546" s="7"/>
    </row>
    <row r="1547" spans="1:13" x14ac:dyDescent="0.25">
      <c r="A1547" s="7" t="s">
        <v>376</v>
      </c>
      <c r="B1547" t="str">
        <f>_xlfn.BASE(MOD(_xlfn.DECIMAL(C1545,2) + _xlfn.DECIMAL(E1545,2), 4294967296), 2, 32)</f>
        <v>01101100001001110101100011010100</v>
      </c>
      <c r="C1547" s="28"/>
      <c r="D1547" s="26"/>
      <c r="E1547" s="7"/>
    </row>
    <row r="1548" spans="1:13" x14ac:dyDescent="0.25">
      <c r="A1548" s="7" t="s">
        <v>375</v>
      </c>
      <c r="B1548" t="str" cm="1">
        <f t="array" ref="B1548">BitsToHex(B1547)</f>
        <v>6C2758D4</v>
      </c>
    </row>
    <row r="1550" spans="1:13" x14ac:dyDescent="0.25">
      <c r="C1550" s="27" t="s">
        <v>225</v>
      </c>
      <c r="E1550" s="24" t="s">
        <v>8</v>
      </c>
      <c r="F1550" s="24" t="s">
        <v>29</v>
      </c>
      <c r="G1550" s="24" t="s">
        <v>30</v>
      </c>
      <c r="H1550" s="24" t="s">
        <v>31</v>
      </c>
      <c r="I1550" s="24" t="s">
        <v>221</v>
      </c>
      <c r="J1550" s="24" t="s">
        <v>222</v>
      </c>
      <c r="K1550" s="24" t="s">
        <v>34</v>
      </c>
      <c r="L1550" s="24" t="s">
        <v>223</v>
      </c>
    </row>
    <row r="1551" spans="1:13" x14ac:dyDescent="0.25">
      <c r="E1551" s="24" t="str">
        <f>B1548</f>
        <v>6C2758D4</v>
      </c>
      <c r="F1551" s="24" t="str">
        <f>E1519</f>
        <v>71139766</v>
      </c>
      <c r="G1551" s="24" t="str">
        <f>F1519</f>
        <v>7AE3DD82</v>
      </c>
      <c r="H1551" s="24" t="str">
        <f>G1519</f>
        <v>AE5DF171</v>
      </c>
      <c r="I1551" s="24" t="str">
        <f>B1542</f>
        <v>2DB82F77</v>
      </c>
      <c r="J1551" s="25" t="str">
        <f>I1519</f>
        <v>CB6EEF18</v>
      </c>
      <c r="K1551" s="24" t="str">
        <f>J1519</f>
        <v>5CEF606A</v>
      </c>
      <c r="L1551" s="24" t="str">
        <f>K1519</f>
        <v>526F8AC2</v>
      </c>
    </row>
    <row r="1552" spans="1:13" x14ac:dyDescent="0.25">
      <c r="A1552" s="2"/>
      <c r="B1552" s="2"/>
      <c r="C1552" s="30" t="s">
        <v>379</v>
      </c>
      <c r="D1552" s="2">
        <v>43</v>
      </c>
      <c r="E1552" s="2"/>
      <c r="F1552" s="2"/>
      <c r="G1552" s="2"/>
      <c r="H1552" s="2"/>
      <c r="I1552" s="2"/>
      <c r="J1552" s="2"/>
      <c r="K1552" s="2"/>
      <c r="L1552" s="2"/>
      <c r="M1552" s="2"/>
    </row>
    <row r="1553" spans="1:12" x14ac:dyDescent="0.25">
      <c r="D1553" t="s">
        <v>380</v>
      </c>
      <c r="E1553">
        <f>D1552+1</f>
        <v>44</v>
      </c>
    </row>
    <row r="1554" spans="1:12" x14ac:dyDescent="0.25">
      <c r="C1554" s="27" t="s">
        <v>224</v>
      </c>
      <c r="E1554" s="24" t="s">
        <v>8</v>
      </c>
      <c r="F1554" s="24" t="s">
        <v>29</v>
      </c>
      <c r="G1554" s="24" t="s">
        <v>30</v>
      </c>
      <c r="H1554" s="24" t="s">
        <v>31</v>
      </c>
      <c r="I1554" s="24" t="s">
        <v>221</v>
      </c>
      <c r="J1554" s="24" t="s">
        <v>222</v>
      </c>
      <c r="K1554" s="24" t="s">
        <v>34</v>
      </c>
      <c r="L1554" s="24" t="s">
        <v>223</v>
      </c>
    </row>
    <row r="1555" spans="1:12" x14ac:dyDescent="0.25">
      <c r="E1555" s="24" t="str">
        <f t="shared" ref="E1555:L1555" si="43">E1551</f>
        <v>6C2758D4</v>
      </c>
      <c r="F1555" s="24" t="str">
        <f t="shared" si="43"/>
        <v>71139766</v>
      </c>
      <c r="G1555" s="24" t="str">
        <f t="shared" si="43"/>
        <v>7AE3DD82</v>
      </c>
      <c r="H1555" s="24" t="str">
        <f t="shared" si="43"/>
        <v>AE5DF171</v>
      </c>
      <c r="I1555" s="25" t="str">
        <f t="shared" si="43"/>
        <v>2DB82F77</v>
      </c>
      <c r="J1555" s="24" t="str">
        <f t="shared" si="43"/>
        <v>CB6EEF18</v>
      </c>
      <c r="K1555" s="24" t="str">
        <f t="shared" si="43"/>
        <v>5CEF606A</v>
      </c>
      <c r="L1555" s="24" t="str">
        <f t="shared" si="43"/>
        <v>526F8AC2</v>
      </c>
    </row>
    <row r="1557" spans="1:12" x14ac:dyDescent="0.25">
      <c r="A1557" s="7" t="s">
        <v>363</v>
      </c>
      <c r="B1557" s="7"/>
      <c r="C1557" s="28" t="s">
        <v>223</v>
      </c>
      <c r="D1557" s="26" t="s">
        <v>183</v>
      </c>
      <c r="E1557" s="8" t="s">
        <v>365</v>
      </c>
      <c r="F1557" s="26" t="s">
        <v>183</v>
      </c>
      <c r="G1557" s="8" t="s">
        <v>366</v>
      </c>
      <c r="H1557" s="26" t="s">
        <v>183</v>
      </c>
      <c r="I1557" s="8" t="s">
        <v>367</v>
      </c>
      <c r="J1557" s="26" t="s">
        <v>183</v>
      </c>
      <c r="K1557" s="8" t="s">
        <v>368</v>
      </c>
    </row>
    <row r="1558" spans="1:12" x14ac:dyDescent="0.25">
      <c r="A1558" s="7"/>
    </row>
    <row r="1559" spans="1:12" x14ac:dyDescent="0.25">
      <c r="A1559" s="7"/>
      <c r="C1559" s="27" t="str">
        <f>L1555</f>
        <v>526F8AC2</v>
      </c>
      <c r="E1559" t="str" cm="1">
        <f t="array" ref="E1559">BSIG1_H(I1555)</f>
        <v>EE44EC2E</v>
      </c>
      <c r="G1559" t="str" cm="1">
        <f t="array" ref="G1559">CH_H(I1555,J1555,K1555)</f>
        <v>596F6F18</v>
      </c>
      <c r="I1559" t="str" cm="1">
        <f t="array" ref="I1559">INDEX(Folha3!$C$15:$J$22,IF(MOD(E1553,8)=0,0,1)+INT(E1553/8),1+MOD(E1553-1,8))</f>
        <v>c76c51a3</v>
      </c>
      <c r="K1559" t="str" cm="1">
        <f t="array" ref="K1559">INDEX(Folha3!$C$38:$BN$38,1,E1553)</f>
        <v>017DA187</v>
      </c>
    </row>
    <row r="1560" spans="1:12" x14ac:dyDescent="0.25">
      <c r="A1560" s="7" t="s">
        <v>370</v>
      </c>
      <c r="C1560" s="27" t="str" cm="1">
        <f t="array" ref="C1560">HexToBits(C1559)</f>
        <v>01010010011011111000101011000010</v>
      </c>
      <c r="E1560" t="str" cm="1">
        <f t="array" ref="E1560">HexToBits(E1559)</f>
        <v>11101110010001001110110000101110</v>
      </c>
      <c r="G1560" t="str" cm="1">
        <f t="array" ref="G1560">HexToBits(G1559)</f>
        <v>01011001011011110110111100011000</v>
      </c>
      <c r="I1560" t="str" cm="1">
        <f t="array" ref="I1560">HexToBits(I1559)</f>
        <v>11000111011011000101000110100011</v>
      </c>
      <c r="K1560" t="str" cm="1">
        <f t="array" ref="K1560">HexToBits(K1559)</f>
        <v>00000001011111011010000110000111</v>
      </c>
    </row>
    <row r="1561" spans="1:12" x14ac:dyDescent="0.25">
      <c r="A1561" s="7"/>
    </row>
    <row r="1562" spans="1:12" x14ac:dyDescent="0.25">
      <c r="A1562" s="7" t="s">
        <v>364</v>
      </c>
      <c r="B1562" t="str">
        <f>_xlfn.BASE(
  (_xlfn.DECIMAL(C1560,2)+_xlfn.DECIMAL(E1560,2)+_xlfn.DECIMAL(G1560,2)+_xlfn.DECIMAL(I1560,2)+_xlfn.DECIMAL(K1560,2))
  - (INT((_xlfn.DECIMAL(C1560,2)+_xlfn.DECIMAL(E1560,2)+_xlfn.DECIMAL(G1560,2)+_xlfn.DECIMAL(I1560,2)+_xlfn.DECIMAL(K1560,2)) / 4294967296) * 4294967296),
  2,
  32
)</f>
        <v>01100011000011011101100100110010</v>
      </c>
    </row>
    <row r="1563" spans="1:12" x14ac:dyDescent="0.25">
      <c r="A1563" s="7" t="s">
        <v>369</v>
      </c>
      <c r="B1563" t="str" cm="1">
        <f t="array" ref="B1563">BitsToHex(B1562)</f>
        <v>630DD932</v>
      </c>
    </row>
    <row r="1566" spans="1:12" x14ac:dyDescent="0.25">
      <c r="A1566" s="7" t="s">
        <v>373</v>
      </c>
      <c r="B1566" s="7"/>
      <c r="C1566" s="29" t="s">
        <v>371</v>
      </c>
      <c r="D1566" s="26" t="s">
        <v>183</v>
      </c>
      <c r="E1566" s="8" t="s">
        <v>372</v>
      </c>
      <c r="J1566" s="32"/>
    </row>
    <row r="1567" spans="1:12" x14ac:dyDescent="0.25">
      <c r="A1567" s="7"/>
    </row>
    <row r="1568" spans="1:12" x14ac:dyDescent="0.25">
      <c r="A1568" s="7"/>
      <c r="C1568" s="27" t="str" cm="1">
        <f t="array" ref="C1568">BSIG0_H(E1555)</f>
        <v>40C9E6BF</v>
      </c>
      <c r="E1568" t="str" cm="1">
        <f t="array" ref="E1568">MAJ_H(E1555,F1555,G1555)</f>
        <v>7823DDC6</v>
      </c>
    </row>
    <row r="1569" spans="1:12" x14ac:dyDescent="0.25">
      <c r="A1569" s="7" t="s">
        <v>370</v>
      </c>
      <c r="C1569" s="27" t="str" cm="1">
        <f t="array" ref="C1569">HexToBits(C1568)</f>
        <v>01000000110010011110011010111111</v>
      </c>
      <c r="E1569" t="str" cm="1">
        <f t="array" ref="E1569">HexToBits(E1568)</f>
        <v>01111000001000111101110111000110</v>
      </c>
    </row>
    <row r="1570" spans="1:12" x14ac:dyDescent="0.25">
      <c r="A1570" s="7"/>
    </row>
    <row r="1571" spans="1:12" x14ac:dyDescent="0.25">
      <c r="A1571" s="7" t="s">
        <v>373</v>
      </c>
      <c r="B1571" t="str">
        <f>_xlfn.BASE(MOD(_xlfn.DECIMAL(C1569,2) + _xlfn.DECIMAL(E1569,2), 4294967296), 2, 32)</f>
        <v>10111000111011011100010010000101</v>
      </c>
    </row>
    <row r="1572" spans="1:12" x14ac:dyDescent="0.25">
      <c r="A1572" s="7" t="s">
        <v>369</v>
      </c>
      <c r="B1572" t="str" cm="1">
        <f t="array" ref="B1572">BitsToHex(B1571)</f>
        <v>B8EDC485</v>
      </c>
    </row>
    <row r="1573" spans="1:12" x14ac:dyDescent="0.25">
      <c r="A1573" s="7"/>
    </row>
    <row r="1574" spans="1:12" x14ac:dyDescent="0.25">
      <c r="A1574" s="7" t="s">
        <v>374</v>
      </c>
      <c r="C1574" s="28" t="s">
        <v>31</v>
      </c>
      <c r="D1574" s="26" t="s">
        <v>183</v>
      </c>
      <c r="E1574" s="7" t="s">
        <v>227</v>
      </c>
    </row>
    <row r="1575" spans="1:12" x14ac:dyDescent="0.25">
      <c r="A1575" s="7"/>
      <c r="C1575" s="28"/>
      <c r="D1575" s="26"/>
      <c r="E1575" s="7"/>
      <c r="L1575" s="16"/>
    </row>
    <row r="1576" spans="1:12" x14ac:dyDescent="0.25">
      <c r="C1576" s="27" t="str" cm="1">
        <f t="array" ref="C1576">HexToBits(H1555)</f>
        <v>10101110010111011111000101110001</v>
      </c>
      <c r="D1576" s="26"/>
      <c r="E1576" t="str">
        <f>B1562</f>
        <v>01100011000011011101100100110010</v>
      </c>
    </row>
    <row r="1577" spans="1:12" x14ac:dyDescent="0.25">
      <c r="A1577" s="7" t="s">
        <v>374</v>
      </c>
      <c r="B1577" t="str">
        <f>_xlfn.BASE(MOD(_xlfn.DECIMAL(C1576,2) + _xlfn.DECIMAL(E1576,2), 4294967296), 2, 32)</f>
        <v>00010001011010111100101010100011</v>
      </c>
      <c r="D1577" s="16"/>
    </row>
    <row r="1578" spans="1:12" x14ac:dyDescent="0.25">
      <c r="A1578" s="7" t="s">
        <v>375</v>
      </c>
      <c r="B1578" t="str" cm="1">
        <f t="array" ref="B1578">BitsToHex(B1577)</f>
        <v>116BCAA3</v>
      </c>
      <c r="C1578" s="28"/>
      <c r="D1578" s="26"/>
      <c r="E1578" s="7"/>
    </row>
    <row r="1579" spans="1:12" x14ac:dyDescent="0.25">
      <c r="A1579" s="7"/>
      <c r="C1579" s="28"/>
      <c r="D1579" s="26"/>
      <c r="E1579" s="7"/>
    </row>
    <row r="1580" spans="1:12" x14ac:dyDescent="0.25">
      <c r="A1580" s="7" t="s">
        <v>376</v>
      </c>
      <c r="C1580" s="28" t="s">
        <v>377</v>
      </c>
      <c r="D1580" s="26" t="s">
        <v>183</v>
      </c>
      <c r="E1580" s="7" t="s">
        <v>378</v>
      </c>
    </row>
    <row r="1581" spans="1:12" x14ac:dyDescent="0.25">
      <c r="A1581" s="7"/>
      <c r="C1581" s="27" t="str">
        <f>B1562</f>
        <v>01100011000011011101100100110010</v>
      </c>
      <c r="D1581" s="16"/>
      <c r="E1581" t="str">
        <f>B1571</f>
        <v>10111000111011011100010010000101</v>
      </c>
    </row>
    <row r="1582" spans="1:12" x14ac:dyDescent="0.25">
      <c r="A1582" s="7"/>
      <c r="C1582" s="28"/>
      <c r="D1582" s="26"/>
      <c r="E1582" s="7"/>
    </row>
    <row r="1583" spans="1:12" x14ac:dyDescent="0.25">
      <c r="A1583" s="7" t="s">
        <v>376</v>
      </c>
      <c r="B1583" t="str">
        <f>_xlfn.BASE(MOD(_xlfn.DECIMAL(C1581,2) + _xlfn.DECIMAL(E1581,2), 4294967296), 2, 32)</f>
        <v>00011011111110111001110110110111</v>
      </c>
      <c r="C1583" s="28"/>
      <c r="D1583" s="26"/>
      <c r="E1583" s="7"/>
    </row>
    <row r="1584" spans="1:12" x14ac:dyDescent="0.25">
      <c r="A1584" s="7" t="s">
        <v>375</v>
      </c>
      <c r="B1584" t="str" cm="1">
        <f t="array" ref="B1584">BitsToHex(B1583)</f>
        <v>1BFB9DB7</v>
      </c>
    </row>
    <row r="1586" spans="1:13" x14ac:dyDescent="0.25">
      <c r="C1586" s="27" t="s">
        <v>225</v>
      </c>
      <c r="E1586" s="24" t="s">
        <v>8</v>
      </c>
      <c r="F1586" s="24" t="s">
        <v>29</v>
      </c>
      <c r="G1586" s="24" t="s">
        <v>30</v>
      </c>
      <c r="H1586" s="24" t="s">
        <v>31</v>
      </c>
      <c r="I1586" s="24" t="s">
        <v>221</v>
      </c>
      <c r="J1586" s="24" t="s">
        <v>222</v>
      </c>
      <c r="K1586" s="24" t="s">
        <v>34</v>
      </c>
      <c r="L1586" s="24" t="s">
        <v>223</v>
      </c>
    </row>
    <row r="1587" spans="1:13" x14ac:dyDescent="0.25">
      <c r="E1587" s="24" t="str">
        <f>B1584</f>
        <v>1BFB9DB7</v>
      </c>
      <c r="F1587" s="24" t="str">
        <f>E1555</f>
        <v>6C2758D4</v>
      </c>
      <c r="G1587" s="24" t="str">
        <f>F1555</f>
        <v>71139766</v>
      </c>
      <c r="H1587" s="24" t="str">
        <f>G1555</f>
        <v>7AE3DD82</v>
      </c>
      <c r="I1587" s="24" t="str">
        <f>B1578</f>
        <v>116BCAA3</v>
      </c>
      <c r="J1587" s="25" t="str">
        <f>I1555</f>
        <v>2DB82F77</v>
      </c>
      <c r="K1587" s="24" t="str">
        <f>J1555</f>
        <v>CB6EEF18</v>
      </c>
      <c r="L1587" s="24" t="str">
        <f>K1555</f>
        <v>5CEF606A</v>
      </c>
    </row>
    <row r="1588" spans="1:13" x14ac:dyDescent="0.25">
      <c r="A1588" s="2"/>
      <c r="B1588" s="2"/>
      <c r="C1588" s="30" t="s">
        <v>379</v>
      </c>
      <c r="D1588" s="2">
        <v>44</v>
      </c>
      <c r="E1588" s="2"/>
      <c r="F1588" s="2"/>
      <c r="G1588" s="2"/>
      <c r="H1588" s="2"/>
      <c r="I1588" s="2"/>
      <c r="J1588" s="2"/>
      <c r="K1588" s="2"/>
      <c r="L1588" s="2"/>
      <c r="M1588" s="2"/>
    </row>
    <row r="1589" spans="1:13" x14ac:dyDescent="0.25">
      <c r="D1589" t="s">
        <v>380</v>
      </c>
      <c r="E1589">
        <f>D1588+1</f>
        <v>45</v>
      </c>
    </row>
    <row r="1590" spans="1:13" x14ac:dyDescent="0.25">
      <c r="C1590" s="27" t="s">
        <v>224</v>
      </c>
      <c r="E1590" s="24" t="s">
        <v>8</v>
      </c>
      <c r="F1590" s="24" t="s">
        <v>29</v>
      </c>
      <c r="G1590" s="24" t="s">
        <v>30</v>
      </c>
      <c r="H1590" s="24" t="s">
        <v>31</v>
      </c>
      <c r="I1590" s="24" t="s">
        <v>221</v>
      </c>
      <c r="J1590" s="24" t="s">
        <v>222</v>
      </c>
      <c r="K1590" s="24" t="s">
        <v>34</v>
      </c>
      <c r="L1590" s="24" t="s">
        <v>223</v>
      </c>
    </row>
    <row r="1591" spans="1:13" x14ac:dyDescent="0.25">
      <c r="E1591" s="24" t="str">
        <f t="shared" ref="E1591:L1591" si="44">E1587</f>
        <v>1BFB9DB7</v>
      </c>
      <c r="F1591" s="24" t="str">
        <f t="shared" si="44"/>
        <v>6C2758D4</v>
      </c>
      <c r="G1591" s="24" t="str">
        <f t="shared" si="44"/>
        <v>71139766</v>
      </c>
      <c r="H1591" s="24" t="str">
        <f t="shared" si="44"/>
        <v>7AE3DD82</v>
      </c>
      <c r="I1591" s="25" t="str">
        <f t="shared" si="44"/>
        <v>116BCAA3</v>
      </c>
      <c r="J1591" s="24" t="str">
        <f t="shared" si="44"/>
        <v>2DB82F77</v>
      </c>
      <c r="K1591" s="24" t="str">
        <f t="shared" si="44"/>
        <v>CB6EEF18</v>
      </c>
      <c r="L1591" s="24" t="str">
        <f t="shared" si="44"/>
        <v>5CEF606A</v>
      </c>
    </row>
    <row r="1593" spans="1:13" x14ac:dyDescent="0.25">
      <c r="A1593" s="7" t="s">
        <v>363</v>
      </c>
      <c r="B1593" s="7"/>
      <c r="C1593" s="28" t="s">
        <v>223</v>
      </c>
      <c r="D1593" s="26" t="s">
        <v>183</v>
      </c>
      <c r="E1593" s="8" t="s">
        <v>365</v>
      </c>
      <c r="F1593" s="26" t="s">
        <v>183</v>
      </c>
      <c r="G1593" s="8" t="s">
        <v>366</v>
      </c>
      <c r="H1593" s="26" t="s">
        <v>183</v>
      </c>
      <c r="I1593" s="8" t="s">
        <v>367</v>
      </c>
      <c r="J1593" s="26" t="s">
        <v>183</v>
      </c>
      <c r="K1593" s="8" t="s">
        <v>368</v>
      </c>
    </row>
    <row r="1594" spans="1:13" x14ac:dyDescent="0.25">
      <c r="A1594" s="7"/>
    </row>
    <row r="1595" spans="1:13" x14ac:dyDescent="0.25">
      <c r="A1595" s="7"/>
      <c r="C1595" s="27" t="str">
        <f>L1591</f>
        <v>5CEF606A</v>
      </c>
      <c r="E1595" t="str" cm="1">
        <f t="array" ref="E1595">BSIG1_H(I1591)</f>
        <v>6DC2D3DB</v>
      </c>
      <c r="G1595" t="str" cm="1">
        <f t="array" ref="G1595">CH_H(I1591,J1591,K1591)</f>
        <v>CB2C2F3B</v>
      </c>
      <c r="I1595" t="str" cm="1">
        <f t="array" ref="I1595">INDEX(Folha3!$C$15:$J$22,IF(MOD(E1589,8)=0,0,1)+INT(E1589/8),1+MOD(E1589-1,8))</f>
        <v>d192e819</v>
      </c>
      <c r="K1595" t="str" cm="1">
        <f t="array" ref="K1595">INDEX(Folha3!$C$38:$BN$38,1,E1589)</f>
        <v>7E8BDE00</v>
      </c>
    </row>
    <row r="1596" spans="1:13" x14ac:dyDescent="0.25">
      <c r="A1596" s="7" t="s">
        <v>370</v>
      </c>
      <c r="C1596" s="27" t="str" cm="1">
        <f t="array" ref="C1596">HexToBits(C1595)</f>
        <v>01011100111011110110000001101010</v>
      </c>
      <c r="E1596" t="str" cm="1">
        <f t="array" ref="E1596">HexToBits(E1595)</f>
        <v>01101101110000101101001111011011</v>
      </c>
      <c r="G1596" t="str" cm="1">
        <f t="array" ref="G1596">HexToBits(G1595)</f>
        <v>11001011001011000010111100111011</v>
      </c>
      <c r="I1596" t="str" cm="1">
        <f t="array" ref="I1596">HexToBits(I1595)</f>
        <v>11010001100100101110100000011001</v>
      </c>
      <c r="K1596" t="str" cm="1">
        <f t="array" ref="K1596">HexToBits(K1595)</f>
        <v>01111110100010111101111000000000</v>
      </c>
    </row>
    <row r="1597" spans="1:13" x14ac:dyDescent="0.25">
      <c r="A1597" s="7"/>
    </row>
    <row r="1598" spans="1:13" x14ac:dyDescent="0.25">
      <c r="A1598" s="7" t="s">
        <v>364</v>
      </c>
      <c r="B1598" t="str">
        <f>_xlfn.BASE(
  (_xlfn.DECIMAL(C1596,2)+_xlfn.DECIMAL(E1596,2)+_xlfn.DECIMAL(G1596,2)+_xlfn.DECIMAL(I1596,2)+_xlfn.DECIMAL(K1596,2))
  - (INT((_xlfn.DECIMAL(C1596,2)+_xlfn.DECIMAL(E1596,2)+_xlfn.DECIMAL(G1596,2)+_xlfn.DECIMAL(I1596,2)+_xlfn.DECIMAL(K1596,2)) / 4294967296) * 4294967296),
  2,
  32
)</f>
        <v>11100101111111010010100110011001</v>
      </c>
    </row>
    <row r="1599" spans="1:13" x14ac:dyDescent="0.25">
      <c r="A1599" s="7" t="s">
        <v>369</v>
      </c>
      <c r="B1599" t="str" cm="1">
        <f t="array" ref="B1599">BitsToHex(B1598)</f>
        <v>E5FD2999</v>
      </c>
    </row>
    <row r="1602" spans="1:12" x14ac:dyDescent="0.25">
      <c r="A1602" s="7" t="s">
        <v>373</v>
      </c>
      <c r="B1602" s="7"/>
      <c r="C1602" s="29" t="s">
        <v>371</v>
      </c>
      <c r="D1602" s="26" t="s">
        <v>183</v>
      </c>
      <c r="E1602" s="8" t="s">
        <v>372</v>
      </c>
      <c r="J1602" s="32"/>
    </row>
    <row r="1603" spans="1:12" x14ac:dyDescent="0.25">
      <c r="A1603" s="7"/>
    </row>
    <row r="1604" spans="1:12" x14ac:dyDescent="0.25">
      <c r="A1604" s="7"/>
      <c r="C1604" s="27" t="str" cm="1">
        <f t="array" ref="C1604">BSIG0_H(E1591)</f>
        <v>C530E4DE</v>
      </c>
      <c r="E1604" t="str" cm="1">
        <f t="array" ref="E1604">MAJ_H(E1591,F1591,G1591)</f>
        <v>79339DF6</v>
      </c>
    </row>
    <row r="1605" spans="1:12" x14ac:dyDescent="0.25">
      <c r="A1605" s="7" t="s">
        <v>370</v>
      </c>
      <c r="C1605" s="27" t="str" cm="1">
        <f t="array" ref="C1605">HexToBits(C1604)</f>
        <v>11000101001100001110010011011110</v>
      </c>
      <c r="E1605" t="str" cm="1">
        <f t="array" ref="E1605">HexToBits(E1604)</f>
        <v>01111001001100111001110111110110</v>
      </c>
    </row>
    <row r="1606" spans="1:12" x14ac:dyDescent="0.25">
      <c r="A1606" s="7"/>
    </row>
    <row r="1607" spans="1:12" x14ac:dyDescent="0.25">
      <c r="A1607" s="7" t="s">
        <v>373</v>
      </c>
      <c r="B1607" t="str">
        <f>_xlfn.BASE(MOD(_xlfn.DECIMAL(C1605,2) + _xlfn.DECIMAL(E1605,2), 4294967296), 2, 32)</f>
        <v>00111110011001001000001011010100</v>
      </c>
    </row>
    <row r="1608" spans="1:12" x14ac:dyDescent="0.25">
      <c r="A1608" s="7" t="s">
        <v>369</v>
      </c>
      <c r="B1608" t="str" cm="1">
        <f t="array" ref="B1608">BitsToHex(B1607)</f>
        <v>3E6482D4</v>
      </c>
    </row>
    <row r="1609" spans="1:12" x14ac:dyDescent="0.25">
      <c r="A1609" s="7"/>
    </row>
    <row r="1610" spans="1:12" x14ac:dyDescent="0.25">
      <c r="A1610" s="7" t="s">
        <v>374</v>
      </c>
      <c r="C1610" s="28" t="s">
        <v>31</v>
      </c>
      <c r="D1610" s="26" t="s">
        <v>183</v>
      </c>
      <c r="E1610" s="7" t="s">
        <v>227</v>
      </c>
    </row>
    <row r="1611" spans="1:12" x14ac:dyDescent="0.25">
      <c r="A1611" s="7"/>
      <c r="C1611" s="28"/>
      <c r="D1611" s="26"/>
      <c r="E1611" s="7"/>
      <c r="L1611" s="16"/>
    </row>
    <row r="1612" spans="1:12" x14ac:dyDescent="0.25">
      <c r="C1612" s="27" t="str" cm="1">
        <f t="array" ref="C1612">HexToBits(H1591)</f>
        <v>01111010111000111101110110000010</v>
      </c>
      <c r="D1612" s="26"/>
      <c r="E1612" t="str">
        <f>B1598</f>
        <v>11100101111111010010100110011001</v>
      </c>
    </row>
    <row r="1613" spans="1:12" x14ac:dyDescent="0.25">
      <c r="A1613" s="7" t="s">
        <v>374</v>
      </c>
      <c r="B1613" t="str">
        <f>_xlfn.BASE(MOD(_xlfn.DECIMAL(C1612,2) + _xlfn.DECIMAL(E1612,2), 4294967296), 2, 32)</f>
        <v>01100000111000010000011100011011</v>
      </c>
      <c r="D1613" s="16"/>
    </row>
    <row r="1614" spans="1:12" x14ac:dyDescent="0.25">
      <c r="A1614" s="7" t="s">
        <v>375</v>
      </c>
      <c r="B1614" t="str" cm="1">
        <f t="array" ref="B1614">BitsToHex(B1613)</f>
        <v>60E1071B</v>
      </c>
      <c r="C1614" s="28"/>
      <c r="D1614" s="26"/>
      <c r="E1614" s="7"/>
    </row>
    <row r="1615" spans="1:12" x14ac:dyDescent="0.25">
      <c r="A1615" s="7"/>
      <c r="C1615" s="28"/>
      <c r="D1615" s="26"/>
      <c r="E1615" s="7"/>
    </row>
    <row r="1616" spans="1:12" x14ac:dyDescent="0.25">
      <c r="A1616" s="7" t="s">
        <v>376</v>
      </c>
      <c r="C1616" s="28" t="s">
        <v>377</v>
      </c>
      <c r="D1616" s="26" t="s">
        <v>183</v>
      </c>
      <c r="E1616" s="7" t="s">
        <v>378</v>
      </c>
    </row>
    <row r="1617" spans="1:13" x14ac:dyDescent="0.25">
      <c r="A1617" s="7"/>
      <c r="C1617" s="27" t="str">
        <f>B1598</f>
        <v>11100101111111010010100110011001</v>
      </c>
      <c r="D1617" s="16"/>
      <c r="E1617" t="str">
        <f>B1607</f>
        <v>00111110011001001000001011010100</v>
      </c>
    </row>
    <row r="1618" spans="1:13" x14ac:dyDescent="0.25">
      <c r="A1618" s="7"/>
      <c r="C1618" s="28"/>
      <c r="D1618" s="26"/>
      <c r="E1618" s="7"/>
    </row>
    <row r="1619" spans="1:13" x14ac:dyDescent="0.25">
      <c r="A1619" s="7" t="s">
        <v>376</v>
      </c>
      <c r="B1619" t="str">
        <f>_xlfn.BASE(MOD(_xlfn.DECIMAL(C1617,2) + _xlfn.DECIMAL(E1617,2), 4294967296), 2, 32)</f>
        <v>00100100011000011010110001101101</v>
      </c>
      <c r="C1619" s="28"/>
      <c r="D1619" s="26"/>
      <c r="E1619" s="7"/>
    </row>
    <row r="1620" spans="1:13" x14ac:dyDescent="0.25">
      <c r="A1620" s="7" t="s">
        <v>375</v>
      </c>
      <c r="B1620" t="str" cm="1">
        <f t="array" ref="B1620">BitsToHex(B1619)</f>
        <v>2461AC6D</v>
      </c>
    </row>
    <row r="1622" spans="1:13" x14ac:dyDescent="0.25">
      <c r="C1622" s="27" t="s">
        <v>225</v>
      </c>
      <c r="E1622" s="24" t="s">
        <v>8</v>
      </c>
      <c r="F1622" s="24" t="s">
        <v>29</v>
      </c>
      <c r="G1622" s="24" t="s">
        <v>30</v>
      </c>
      <c r="H1622" s="24" t="s">
        <v>31</v>
      </c>
      <c r="I1622" s="24" t="s">
        <v>221</v>
      </c>
      <c r="J1622" s="24" t="s">
        <v>222</v>
      </c>
      <c r="K1622" s="24" t="s">
        <v>34</v>
      </c>
      <c r="L1622" s="24" t="s">
        <v>223</v>
      </c>
    </row>
    <row r="1623" spans="1:13" x14ac:dyDescent="0.25">
      <c r="E1623" s="24" t="str">
        <f>B1620</f>
        <v>2461AC6D</v>
      </c>
      <c r="F1623" s="24" t="str">
        <f>E1591</f>
        <v>1BFB9DB7</v>
      </c>
      <c r="G1623" s="24" t="str">
        <f>F1591</f>
        <v>6C2758D4</v>
      </c>
      <c r="H1623" s="24" t="str">
        <f>G1591</f>
        <v>71139766</v>
      </c>
      <c r="I1623" s="24" t="str">
        <f>B1614</f>
        <v>60E1071B</v>
      </c>
      <c r="J1623" s="25" t="str">
        <f>I1591</f>
        <v>116BCAA3</v>
      </c>
      <c r="K1623" s="24" t="str">
        <f>J1591</f>
        <v>2DB82F77</v>
      </c>
      <c r="L1623" s="24" t="str">
        <f>K1591</f>
        <v>CB6EEF18</v>
      </c>
    </row>
    <row r="1624" spans="1:13" x14ac:dyDescent="0.25">
      <c r="A1624" s="2"/>
      <c r="B1624" s="2"/>
      <c r="C1624" s="30" t="s">
        <v>379</v>
      </c>
      <c r="D1624" s="2">
        <v>45</v>
      </c>
      <c r="E1624" s="2"/>
      <c r="F1624" s="2"/>
      <c r="G1624" s="2"/>
      <c r="H1624" s="2"/>
      <c r="I1624" s="2"/>
      <c r="J1624" s="2"/>
      <c r="K1624" s="2"/>
      <c r="L1624" s="2"/>
      <c r="M1624" s="2"/>
    </row>
    <row r="1625" spans="1:13" x14ac:dyDescent="0.25">
      <c r="D1625" t="s">
        <v>380</v>
      </c>
      <c r="E1625">
        <f>D1624+1</f>
        <v>46</v>
      </c>
    </row>
    <row r="1626" spans="1:13" x14ac:dyDescent="0.25">
      <c r="C1626" s="27" t="s">
        <v>224</v>
      </c>
      <c r="E1626" s="24" t="s">
        <v>8</v>
      </c>
      <c r="F1626" s="24" t="s">
        <v>29</v>
      </c>
      <c r="G1626" s="24" t="s">
        <v>30</v>
      </c>
      <c r="H1626" s="24" t="s">
        <v>31</v>
      </c>
      <c r="I1626" s="24" t="s">
        <v>221</v>
      </c>
      <c r="J1626" s="24" t="s">
        <v>222</v>
      </c>
      <c r="K1626" s="24" t="s">
        <v>34</v>
      </c>
      <c r="L1626" s="24" t="s">
        <v>223</v>
      </c>
    </row>
    <row r="1627" spans="1:13" x14ac:dyDescent="0.25">
      <c r="E1627" s="24" t="str">
        <f t="shared" ref="E1627:L1627" si="45">E1623</f>
        <v>2461AC6D</v>
      </c>
      <c r="F1627" s="24" t="str">
        <f t="shared" si="45"/>
        <v>1BFB9DB7</v>
      </c>
      <c r="G1627" s="24" t="str">
        <f t="shared" si="45"/>
        <v>6C2758D4</v>
      </c>
      <c r="H1627" s="24" t="str">
        <f t="shared" si="45"/>
        <v>71139766</v>
      </c>
      <c r="I1627" s="25" t="str">
        <f t="shared" si="45"/>
        <v>60E1071B</v>
      </c>
      <c r="J1627" s="24" t="str">
        <f t="shared" si="45"/>
        <v>116BCAA3</v>
      </c>
      <c r="K1627" s="24" t="str">
        <f t="shared" si="45"/>
        <v>2DB82F77</v>
      </c>
      <c r="L1627" s="24" t="str">
        <f t="shared" si="45"/>
        <v>CB6EEF18</v>
      </c>
    </row>
    <row r="1629" spans="1:13" x14ac:dyDescent="0.25">
      <c r="A1629" s="7" t="s">
        <v>363</v>
      </c>
      <c r="B1629" s="7"/>
      <c r="C1629" s="28" t="s">
        <v>223</v>
      </c>
      <c r="D1629" s="26" t="s">
        <v>183</v>
      </c>
      <c r="E1629" s="8" t="s">
        <v>365</v>
      </c>
      <c r="F1629" s="26" t="s">
        <v>183</v>
      </c>
      <c r="G1629" s="8" t="s">
        <v>366</v>
      </c>
      <c r="H1629" s="26" t="s">
        <v>183</v>
      </c>
      <c r="I1629" s="8" t="s">
        <v>367</v>
      </c>
      <c r="J1629" s="26" t="s">
        <v>183</v>
      </c>
      <c r="K1629" s="8" t="s">
        <v>368</v>
      </c>
    </row>
    <row r="1630" spans="1:13" x14ac:dyDescent="0.25">
      <c r="A1630" s="7"/>
    </row>
    <row r="1631" spans="1:13" x14ac:dyDescent="0.25">
      <c r="A1631" s="7"/>
      <c r="C1631" s="27" t="str">
        <f>L1627</f>
        <v>CB6EEF18</v>
      </c>
      <c r="E1631" t="str" cm="1">
        <f t="array" ref="E1631">BSIG1_H(I1627)</f>
        <v>FE6C158C</v>
      </c>
      <c r="G1631" t="str" cm="1">
        <f t="array" ref="G1631">CH_H(I1627,J1627,K1627)</f>
        <v>0D792A67</v>
      </c>
      <c r="I1631" t="str" cm="1">
        <f t="array" ref="I1631">INDEX(Folha3!$C$15:$J$22,IF(MOD(E1625,8)=0,0,1)+INT(E1625/8),1+MOD(E1625-1,8))</f>
        <v>d6990624</v>
      </c>
      <c r="K1631" t="str" cm="1">
        <f t="array" ref="K1631">INDEX(Folha3!$C$38:$BN$38,1,E1625)</f>
        <v>CC8CF1CF</v>
      </c>
    </row>
    <row r="1632" spans="1:13" x14ac:dyDescent="0.25">
      <c r="A1632" s="7" t="s">
        <v>370</v>
      </c>
      <c r="C1632" s="27" t="str" cm="1">
        <f t="array" ref="C1632">HexToBits(C1631)</f>
        <v>11001011011011101110111100011000</v>
      </c>
      <c r="E1632" t="str" cm="1">
        <f t="array" ref="E1632">HexToBits(E1631)</f>
        <v>11111110011011000001010110001100</v>
      </c>
      <c r="G1632" t="str" cm="1">
        <f t="array" ref="G1632">HexToBits(G1631)</f>
        <v>00001101011110010010101001100111</v>
      </c>
      <c r="I1632" t="str" cm="1">
        <f t="array" ref="I1632">HexToBits(I1631)</f>
        <v>11010110100110010000011000100100</v>
      </c>
      <c r="K1632" t="str" cm="1">
        <f t="array" ref="K1632">HexToBits(K1631)</f>
        <v>11001100100011001111000111001111</v>
      </c>
    </row>
    <row r="1633" spans="1:12" x14ac:dyDescent="0.25">
      <c r="A1633" s="7"/>
    </row>
    <row r="1634" spans="1:12" x14ac:dyDescent="0.25">
      <c r="A1634" s="7" t="s">
        <v>364</v>
      </c>
      <c r="B1634" t="str">
        <f>_xlfn.BASE(
  (_xlfn.DECIMAL(C1632,2)+_xlfn.DECIMAL(E1632,2)+_xlfn.DECIMAL(G1632,2)+_xlfn.DECIMAL(I1632,2)+_xlfn.DECIMAL(K1632,2))
  - (INT((_xlfn.DECIMAL(C1632,2)+_xlfn.DECIMAL(E1632,2)+_xlfn.DECIMAL(G1632,2)+_xlfn.DECIMAL(I1632,2)+_xlfn.DECIMAL(K1632,2)) / 4294967296) * 4294967296),
  2,
  32
)</f>
        <v>01111010011110100010011011111110</v>
      </c>
    </row>
    <row r="1635" spans="1:12" x14ac:dyDescent="0.25">
      <c r="A1635" s="7" t="s">
        <v>369</v>
      </c>
      <c r="B1635" t="str" cm="1">
        <f t="array" ref="B1635">BitsToHex(B1634)</f>
        <v>7A7A26FE</v>
      </c>
    </row>
    <row r="1638" spans="1:12" x14ac:dyDescent="0.25">
      <c r="A1638" s="7" t="s">
        <v>373</v>
      </c>
      <c r="B1638" s="7"/>
      <c r="C1638" s="29" t="s">
        <v>371</v>
      </c>
      <c r="D1638" s="26" t="s">
        <v>183</v>
      </c>
      <c r="E1638" s="8" t="s">
        <v>372</v>
      </c>
      <c r="J1638" s="32"/>
    </row>
    <row r="1639" spans="1:12" x14ac:dyDescent="0.25">
      <c r="A1639" s="7"/>
    </row>
    <row r="1640" spans="1:12" x14ac:dyDescent="0.25">
      <c r="A1640" s="7"/>
      <c r="C1640" s="27" t="str" cm="1">
        <f t="array" ref="C1640">BSIG0_H(E1627)</f>
        <v>ACC0FC87</v>
      </c>
      <c r="E1640" t="str" cm="1">
        <f t="array" ref="E1640">MAJ_H(E1627,F1627,G1627)</f>
        <v>2C639CF5</v>
      </c>
    </row>
    <row r="1641" spans="1:12" x14ac:dyDescent="0.25">
      <c r="A1641" s="7" t="s">
        <v>370</v>
      </c>
      <c r="C1641" s="27" t="str" cm="1">
        <f t="array" ref="C1641">HexToBits(C1640)</f>
        <v>10101100110000001111110010000111</v>
      </c>
      <c r="E1641" t="str" cm="1">
        <f t="array" ref="E1641">HexToBits(E1640)</f>
        <v>00101100011000111001110011110101</v>
      </c>
    </row>
    <row r="1642" spans="1:12" x14ac:dyDescent="0.25">
      <c r="A1642" s="7"/>
    </row>
    <row r="1643" spans="1:12" x14ac:dyDescent="0.25">
      <c r="A1643" s="7" t="s">
        <v>373</v>
      </c>
      <c r="B1643" t="str">
        <f>_xlfn.BASE(MOD(_xlfn.DECIMAL(C1641,2) + _xlfn.DECIMAL(E1641,2), 4294967296), 2, 32)</f>
        <v>11011001001001001001100101111100</v>
      </c>
    </row>
    <row r="1644" spans="1:12" x14ac:dyDescent="0.25">
      <c r="A1644" s="7" t="s">
        <v>369</v>
      </c>
      <c r="B1644" t="str" cm="1">
        <f t="array" ref="B1644">BitsToHex(B1643)</f>
        <v>D924997C</v>
      </c>
    </row>
    <row r="1645" spans="1:12" x14ac:dyDescent="0.25">
      <c r="A1645" s="7"/>
    </row>
    <row r="1646" spans="1:12" x14ac:dyDescent="0.25">
      <c r="A1646" s="7" t="s">
        <v>374</v>
      </c>
      <c r="C1646" s="28" t="s">
        <v>31</v>
      </c>
      <c r="D1646" s="26" t="s">
        <v>183</v>
      </c>
      <c r="E1646" s="7" t="s">
        <v>227</v>
      </c>
    </row>
    <row r="1647" spans="1:12" x14ac:dyDescent="0.25">
      <c r="A1647" s="7"/>
      <c r="C1647" s="28"/>
      <c r="D1647" s="26"/>
      <c r="E1647" s="7"/>
      <c r="L1647" s="16"/>
    </row>
    <row r="1648" spans="1:12" x14ac:dyDescent="0.25">
      <c r="C1648" s="27" t="str" cm="1">
        <f t="array" ref="C1648">HexToBits(H1627)</f>
        <v>01110001000100111001011101100110</v>
      </c>
      <c r="D1648" s="26"/>
      <c r="E1648" t="str">
        <f>B1634</f>
        <v>01111010011110100010011011111110</v>
      </c>
    </row>
    <row r="1649" spans="1:13" x14ac:dyDescent="0.25">
      <c r="A1649" s="7" t="s">
        <v>374</v>
      </c>
      <c r="B1649" t="str">
        <f>_xlfn.BASE(MOD(_xlfn.DECIMAL(C1648,2) + _xlfn.DECIMAL(E1648,2), 4294967296), 2, 32)</f>
        <v>11101011100011011011111001100100</v>
      </c>
      <c r="D1649" s="16"/>
    </row>
    <row r="1650" spans="1:13" x14ac:dyDescent="0.25">
      <c r="A1650" s="7" t="s">
        <v>375</v>
      </c>
      <c r="B1650" t="str" cm="1">
        <f t="array" ref="B1650">BitsToHex(B1649)</f>
        <v>EB8DBE64</v>
      </c>
      <c r="C1650" s="28"/>
      <c r="D1650" s="26"/>
      <c r="E1650" s="7"/>
    </row>
    <row r="1651" spans="1:13" x14ac:dyDescent="0.25">
      <c r="A1651" s="7"/>
      <c r="C1651" s="28"/>
      <c r="D1651" s="26"/>
      <c r="E1651" s="7"/>
    </row>
    <row r="1652" spans="1:13" x14ac:dyDescent="0.25">
      <c r="A1652" s="7" t="s">
        <v>376</v>
      </c>
      <c r="C1652" s="28" t="s">
        <v>377</v>
      </c>
      <c r="D1652" s="26" t="s">
        <v>183</v>
      </c>
      <c r="E1652" s="7" t="s">
        <v>378</v>
      </c>
    </row>
    <row r="1653" spans="1:13" x14ac:dyDescent="0.25">
      <c r="A1653" s="7"/>
      <c r="C1653" s="27" t="str">
        <f>B1634</f>
        <v>01111010011110100010011011111110</v>
      </c>
      <c r="D1653" s="16"/>
      <c r="E1653" t="str">
        <f>B1643</f>
        <v>11011001001001001001100101111100</v>
      </c>
    </row>
    <row r="1654" spans="1:13" x14ac:dyDescent="0.25">
      <c r="A1654" s="7"/>
      <c r="C1654" s="28"/>
      <c r="D1654" s="26"/>
      <c r="E1654" s="7"/>
    </row>
    <row r="1655" spans="1:13" x14ac:dyDescent="0.25">
      <c r="A1655" s="7" t="s">
        <v>376</v>
      </c>
      <c r="B1655" t="str">
        <f>_xlfn.BASE(MOD(_xlfn.DECIMAL(C1653,2) + _xlfn.DECIMAL(E1653,2), 4294967296), 2, 32)</f>
        <v>01010011100111101100000001111010</v>
      </c>
      <c r="C1655" s="28"/>
      <c r="D1655" s="26"/>
      <c r="E1655" s="7"/>
    </row>
    <row r="1656" spans="1:13" x14ac:dyDescent="0.25">
      <c r="A1656" s="7" t="s">
        <v>375</v>
      </c>
      <c r="B1656" t="str" cm="1">
        <f t="array" ref="B1656">BitsToHex(B1655)</f>
        <v>539EC07A</v>
      </c>
    </row>
    <row r="1658" spans="1:13" x14ac:dyDescent="0.25">
      <c r="C1658" s="27" t="s">
        <v>225</v>
      </c>
      <c r="E1658" s="24" t="s">
        <v>8</v>
      </c>
      <c r="F1658" s="24" t="s">
        <v>29</v>
      </c>
      <c r="G1658" s="24" t="s">
        <v>30</v>
      </c>
      <c r="H1658" s="24" t="s">
        <v>31</v>
      </c>
      <c r="I1658" s="24" t="s">
        <v>221</v>
      </c>
      <c r="J1658" s="24" t="s">
        <v>222</v>
      </c>
      <c r="K1658" s="24" t="s">
        <v>34</v>
      </c>
      <c r="L1658" s="24" t="s">
        <v>223</v>
      </c>
    </row>
    <row r="1659" spans="1:13" x14ac:dyDescent="0.25">
      <c r="E1659" s="24" t="str">
        <f>B1656</f>
        <v>539EC07A</v>
      </c>
      <c r="F1659" s="24" t="str">
        <f>E1627</f>
        <v>2461AC6D</v>
      </c>
      <c r="G1659" s="24" t="str">
        <f>F1627</f>
        <v>1BFB9DB7</v>
      </c>
      <c r="H1659" s="24" t="str">
        <f>G1627</f>
        <v>6C2758D4</v>
      </c>
      <c r="I1659" s="24" t="str">
        <f>B1650</f>
        <v>EB8DBE64</v>
      </c>
      <c r="J1659" s="25" t="str">
        <f>I1627</f>
        <v>60E1071B</v>
      </c>
      <c r="K1659" s="24" t="str">
        <f>J1627</f>
        <v>116BCAA3</v>
      </c>
      <c r="L1659" s="24" t="str">
        <f>K1627</f>
        <v>2DB82F77</v>
      </c>
    </row>
    <row r="1660" spans="1:13" x14ac:dyDescent="0.25">
      <c r="A1660" s="2"/>
      <c r="B1660" s="2"/>
      <c r="C1660" s="30" t="s">
        <v>379</v>
      </c>
      <c r="D1660" s="2">
        <v>46</v>
      </c>
      <c r="E1660" s="2"/>
      <c r="F1660" s="2"/>
      <c r="G1660" s="2"/>
      <c r="H1660" s="2"/>
      <c r="I1660" s="2"/>
      <c r="J1660" s="2"/>
      <c r="K1660" s="2"/>
      <c r="L1660" s="2"/>
      <c r="M1660" s="2"/>
    </row>
    <row r="1661" spans="1:13" x14ac:dyDescent="0.25">
      <c r="D1661" t="s">
        <v>380</v>
      </c>
      <c r="E1661">
        <f>D1660+1</f>
        <v>47</v>
      </c>
    </row>
    <row r="1662" spans="1:13" x14ac:dyDescent="0.25">
      <c r="C1662" s="27" t="s">
        <v>224</v>
      </c>
      <c r="E1662" s="24" t="s">
        <v>8</v>
      </c>
      <c r="F1662" s="24" t="s">
        <v>29</v>
      </c>
      <c r="G1662" s="24" t="s">
        <v>30</v>
      </c>
      <c r="H1662" s="24" t="s">
        <v>31</v>
      </c>
      <c r="I1662" s="24" t="s">
        <v>221</v>
      </c>
      <c r="J1662" s="24" t="s">
        <v>222</v>
      </c>
      <c r="K1662" s="24" t="s">
        <v>34</v>
      </c>
      <c r="L1662" s="24" t="s">
        <v>223</v>
      </c>
    </row>
    <row r="1663" spans="1:13" x14ac:dyDescent="0.25">
      <c r="E1663" s="24" t="str">
        <f t="shared" ref="E1663:L1663" si="46">E1659</f>
        <v>539EC07A</v>
      </c>
      <c r="F1663" s="24" t="str">
        <f t="shared" si="46"/>
        <v>2461AC6D</v>
      </c>
      <c r="G1663" s="24" t="str">
        <f t="shared" si="46"/>
        <v>1BFB9DB7</v>
      </c>
      <c r="H1663" s="24" t="str">
        <f t="shared" si="46"/>
        <v>6C2758D4</v>
      </c>
      <c r="I1663" s="25" t="str">
        <f t="shared" si="46"/>
        <v>EB8DBE64</v>
      </c>
      <c r="J1663" s="24" t="str">
        <f t="shared" si="46"/>
        <v>60E1071B</v>
      </c>
      <c r="K1663" s="24" t="str">
        <f t="shared" si="46"/>
        <v>116BCAA3</v>
      </c>
      <c r="L1663" s="24" t="str">
        <f t="shared" si="46"/>
        <v>2DB82F77</v>
      </c>
    </row>
    <row r="1665" spans="1:11" x14ac:dyDescent="0.25">
      <c r="A1665" s="7" t="s">
        <v>363</v>
      </c>
      <c r="B1665" s="7"/>
      <c r="C1665" s="28" t="s">
        <v>223</v>
      </c>
      <c r="D1665" s="26" t="s">
        <v>183</v>
      </c>
      <c r="E1665" s="8" t="s">
        <v>365</v>
      </c>
      <c r="F1665" s="26" t="s">
        <v>183</v>
      </c>
      <c r="G1665" s="8" t="s">
        <v>366</v>
      </c>
      <c r="H1665" s="26" t="s">
        <v>183</v>
      </c>
      <c r="I1665" s="8" t="s">
        <v>367</v>
      </c>
      <c r="J1665" s="26" t="s">
        <v>183</v>
      </c>
      <c r="K1665" s="8" t="s">
        <v>368</v>
      </c>
    </row>
    <row r="1666" spans="1:11" x14ac:dyDescent="0.25">
      <c r="A1666" s="7"/>
    </row>
    <row r="1667" spans="1:11" x14ac:dyDescent="0.25">
      <c r="A1667" s="7"/>
      <c r="C1667" s="27" t="str">
        <f>L1663</f>
        <v>2DB82F77</v>
      </c>
      <c r="E1667" t="str" cm="1">
        <f t="array" ref="E1667">BSIG1_H(I1663)</f>
        <v>99EC753B</v>
      </c>
      <c r="G1667" t="str" cm="1">
        <f t="array" ref="G1667">CH_H(I1663,J1663,K1663)</f>
        <v>70E34683</v>
      </c>
      <c r="I1667" t="str" cm="1">
        <f t="array" ref="I1667">INDEX(Folha3!$C$15:$J$22,IF(MOD(E1661,8)=0,0,1)+INT(E1661/8),1+MOD(E1661-1,8))</f>
        <v>f40e3585</v>
      </c>
      <c r="K1667" t="str" cm="1">
        <f t="array" ref="K1667">INDEX(Folha3!$C$38:$BN$38,1,E1661)</f>
        <v>AC1CC344</v>
      </c>
    </row>
    <row r="1668" spans="1:11" x14ac:dyDescent="0.25">
      <c r="A1668" s="7" t="s">
        <v>370</v>
      </c>
      <c r="C1668" s="27" t="str" cm="1">
        <f t="array" ref="C1668">HexToBits(C1667)</f>
        <v>00101101101110000010111101110111</v>
      </c>
      <c r="E1668" t="str" cm="1">
        <f t="array" ref="E1668">HexToBits(E1667)</f>
        <v>10011001111011000111010100111011</v>
      </c>
      <c r="G1668" t="str" cm="1">
        <f t="array" ref="G1668">HexToBits(G1667)</f>
        <v>01110000111000110100011010000011</v>
      </c>
      <c r="I1668" t="str" cm="1">
        <f t="array" ref="I1668">HexToBits(I1667)</f>
        <v>11110100000011100011010110000101</v>
      </c>
      <c r="K1668" t="str" cm="1">
        <f t="array" ref="K1668">HexToBits(K1667)</f>
        <v>10101100000111001100001101000100</v>
      </c>
    </row>
    <row r="1669" spans="1:11" x14ac:dyDescent="0.25">
      <c r="A1669" s="7"/>
    </row>
    <row r="1670" spans="1:11" x14ac:dyDescent="0.25">
      <c r="A1670" s="7" t="s">
        <v>364</v>
      </c>
      <c r="B1670" t="str">
        <f>_xlfn.BASE(
  (_xlfn.DECIMAL(C1668,2)+_xlfn.DECIMAL(E1668,2)+_xlfn.DECIMAL(G1668,2)+_xlfn.DECIMAL(I1668,2)+_xlfn.DECIMAL(K1668,2))
  - (INT((_xlfn.DECIMAL(C1668,2)+_xlfn.DECIMAL(E1668,2)+_xlfn.DECIMAL(G1668,2)+_xlfn.DECIMAL(I1668,2)+_xlfn.DECIMAL(K1668,2)) / 4294967296) * 4294967296),
  2,
  32
)</f>
        <v>11011000101100101110001111111110</v>
      </c>
    </row>
    <row r="1671" spans="1:11" x14ac:dyDescent="0.25">
      <c r="A1671" s="7" t="s">
        <v>369</v>
      </c>
      <c r="B1671" t="str" cm="1">
        <f t="array" ref="B1671">BitsToHex(B1670)</f>
        <v>D8B2E3FE</v>
      </c>
    </row>
    <row r="1674" spans="1:11" x14ac:dyDescent="0.25">
      <c r="A1674" s="7" t="s">
        <v>373</v>
      </c>
      <c r="B1674" s="7"/>
      <c r="C1674" s="29" t="s">
        <v>371</v>
      </c>
      <c r="D1674" s="26" t="s">
        <v>183</v>
      </c>
      <c r="E1674" s="8" t="s">
        <v>372</v>
      </c>
      <c r="J1674" s="32"/>
    </row>
    <row r="1675" spans="1:11" x14ac:dyDescent="0.25">
      <c r="A1675" s="7"/>
    </row>
    <row r="1676" spans="1:11" x14ac:dyDescent="0.25">
      <c r="A1676" s="7"/>
      <c r="C1676" s="27" t="str" cm="1">
        <f t="array" ref="C1676">BSIG0_H(E1663)</f>
        <v>EC34C5A6</v>
      </c>
      <c r="E1676" t="str" cm="1">
        <f t="array" ref="E1676">MAJ_H(E1663,F1663,G1663)</f>
        <v>13FB8C7F</v>
      </c>
    </row>
    <row r="1677" spans="1:11" x14ac:dyDescent="0.25">
      <c r="A1677" s="7" t="s">
        <v>370</v>
      </c>
      <c r="C1677" s="27" t="str" cm="1">
        <f t="array" ref="C1677">HexToBits(C1676)</f>
        <v>11101100001101001100010110100110</v>
      </c>
      <c r="E1677" t="str" cm="1">
        <f t="array" ref="E1677">HexToBits(E1676)</f>
        <v>00010011111110111000110001111111</v>
      </c>
    </row>
    <row r="1678" spans="1:11" x14ac:dyDescent="0.25">
      <c r="A1678" s="7"/>
    </row>
    <row r="1679" spans="1:11" x14ac:dyDescent="0.25">
      <c r="A1679" s="7" t="s">
        <v>373</v>
      </c>
      <c r="B1679" t="str">
        <f>_xlfn.BASE(MOD(_xlfn.DECIMAL(C1677,2) + _xlfn.DECIMAL(E1677,2), 4294967296), 2, 32)</f>
        <v>00000000001100000101001000100101</v>
      </c>
    </row>
    <row r="1680" spans="1:11" x14ac:dyDescent="0.25">
      <c r="A1680" s="7" t="s">
        <v>369</v>
      </c>
      <c r="B1680" t="str" cm="1">
        <f t="array" ref="B1680">BitsToHex(B1679)</f>
        <v>00305225</v>
      </c>
    </row>
    <row r="1681" spans="1:13" x14ac:dyDescent="0.25">
      <c r="A1681" s="7"/>
    </row>
    <row r="1682" spans="1:13" x14ac:dyDescent="0.25">
      <c r="A1682" s="7" t="s">
        <v>374</v>
      </c>
      <c r="C1682" s="28" t="s">
        <v>31</v>
      </c>
      <c r="D1682" s="26" t="s">
        <v>183</v>
      </c>
      <c r="E1682" s="7" t="s">
        <v>227</v>
      </c>
    </row>
    <row r="1683" spans="1:13" x14ac:dyDescent="0.25">
      <c r="A1683" s="7"/>
      <c r="C1683" s="28"/>
      <c r="D1683" s="26"/>
      <c r="E1683" s="7"/>
      <c r="L1683" s="16"/>
    </row>
    <row r="1684" spans="1:13" x14ac:dyDescent="0.25">
      <c r="C1684" s="27" t="str" cm="1">
        <f t="array" ref="C1684">HexToBits(H1663)</f>
        <v>01101100001001110101100011010100</v>
      </c>
      <c r="D1684" s="26"/>
      <c r="E1684" t="str">
        <f>B1670</f>
        <v>11011000101100101110001111111110</v>
      </c>
    </row>
    <row r="1685" spans="1:13" x14ac:dyDescent="0.25">
      <c r="A1685" s="7" t="s">
        <v>374</v>
      </c>
      <c r="B1685" t="str">
        <f>_xlfn.BASE(MOD(_xlfn.DECIMAL(C1684,2) + _xlfn.DECIMAL(E1684,2), 4294967296), 2, 32)</f>
        <v>01000100110110100011110011010010</v>
      </c>
      <c r="D1685" s="16"/>
    </row>
    <row r="1686" spans="1:13" x14ac:dyDescent="0.25">
      <c r="A1686" s="7" t="s">
        <v>375</v>
      </c>
      <c r="B1686" t="str" cm="1">
        <f t="array" ref="B1686">BitsToHex(B1685)</f>
        <v>44DA3CD2</v>
      </c>
      <c r="C1686" s="28"/>
      <c r="D1686" s="26"/>
      <c r="E1686" s="7"/>
    </row>
    <row r="1687" spans="1:13" x14ac:dyDescent="0.25">
      <c r="A1687" s="7"/>
      <c r="C1687" s="28"/>
      <c r="D1687" s="26"/>
      <c r="E1687" s="7"/>
    </row>
    <row r="1688" spans="1:13" x14ac:dyDescent="0.25">
      <c r="A1688" s="7" t="s">
        <v>376</v>
      </c>
      <c r="C1688" s="28" t="s">
        <v>377</v>
      </c>
      <c r="D1688" s="26" t="s">
        <v>183</v>
      </c>
      <c r="E1688" s="7" t="s">
        <v>378</v>
      </c>
    </row>
    <row r="1689" spans="1:13" x14ac:dyDescent="0.25">
      <c r="A1689" s="7"/>
      <c r="C1689" s="27" t="str">
        <f>B1670</f>
        <v>11011000101100101110001111111110</v>
      </c>
      <c r="D1689" s="16"/>
      <c r="E1689" t="str">
        <f>B1679</f>
        <v>00000000001100000101001000100101</v>
      </c>
    </row>
    <row r="1690" spans="1:13" x14ac:dyDescent="0.25">
      <c r="A1690" s="7"/>
      <c r="C1690" s="28"/>
      <c r="D1690" s="26"/>
      <c r="E1690" s="7"/>
    </row>
    <row r="1691" spans="1:13" x14ac:dyDescent="0.25">
      <c r="A1691" s="7" t="s">
        <v>376</v>
      </c>
      <c r="B1691" t="str">
        <f>_xlfn.BASE(MOD(_xlfn.DECIMAL(C1689,2) + _xlfn.DECIMAL(E1689,2), 4294967296), 2, 32)</f>
        <v>11011000111000110011011000100011</v>
      </c>
      <c r="C1691" s="28"/>
      <c r="D1691" s="26"/>
      <c r="E1691" s="7"/>
    </row>
    <row r="1692" spans="1:13" x14ac:dyDescent="0.25">
      <c r="A1692" s="7" t="s">
        <v>375</v>
      </c>
      <c r="B1692" t="str" cm="1">
        <f t="array" ref="B1692">BitsToHex(B1691)</f>
        <v>D8E33623</v>
      </c>
    </row>
    <row r="1694" spans="1:13" x14ac:dyDescent="0.25">
      <c r="C1694" s="27" t="s">
        <v>225</v>
      </c>
      <c r="E1694" s="24" t="s">
        <v>8</v>
      </c>
      <c r="F1694" s="24" t="s">
        <v>29</v>
      </c>
      <c r="G1694" s="24" t="s">
        <v>30</v>
      </c>
      <c r="H1694" s="24" t="s">
        <v>31</v>
      </c>
      <c r="I1694" s="24" t="s">
        <v>221</v>
      </c>
      <c r="J1694" s="24" t="s">
        <v>222</v>
      </c>
      <c r="K1694" s="24" t="s">
        <v>34</v>
      </c>
      <c r="L1694" s="24" t="s">
        <v>223</v>
      </c>
    </row>
    <row r="1695" spans="1:13" x14ac:dyDescent="0.25">
      <c r="E1695" s="24" t="str">
        <f>B1692</f>
        <v>D8E33623</v>
      </c>
      <c r="F1695" s="24" t="str">
        <f>E1663</f>
        <v>539EC07A</v>
      </c>
      <c r="G1695" s="24" t="str">
        <f>F1663</f>
        <v>2461AC6D</v>
      </c>
      <c r="H1695" s="24" t="str">
        <f>G1663</f>
        <v>1BFB9DB7</v>
      </c>
      <c r="I1695" s="24" t="str">
        <f>B1686</f>
        <v>44DA3CD2</v>
      </c>
      <c r="J1695" s="25" t="str">
        <f>I1663</f>
        <v>EB8DBE64</v>
      </c>
      <c r="K1695" s="24" t="str">
        <f>J1663</f>
        <v>60E1071B</v>
      </c>
      <c r="L1695" s="24" t="str">
        <f>K1663</f>
        <v>116BCAA3</v>
      </c>
    </row>
    <row r="1696" spans="1:13" x14ac:dyDescent="0.25">
      <c r="A1696" s="2"/>
      <c r="B1696" s="2"/>
      <c r="C1696" s="30" t="s">
        <v>379</v>
      </c>
      <c r="D1696" s="2">
        <v>47</v>
      </c>
      <c r="E1696" s="2"/>
      <c r="F1696" s="2"/>
      <c r="G1696" s="2"/>
      <c r="H1696" s="2"/>
      <c r="I1696" s="2"/>
      <c r="J1696" s="2"/>
      <c r="K1696" s="2"/>
      <c r="L1696" s="2"/>
      <c r="M1696" s="2"/>
    </row>
    <row r="1697" spans="1:12" x14ac:dyDescent="0.25">
      <c r="D1697" t="s">
        <v>380</v>
      </c>
      <c r="E1697">
        <f>D1696+1</f>
        <v>48</v>
      </c>
    </row>
    <row r="1698" spans="1:12" x14ac:dyDescent="0.25">
      <c r="C1698" s="27" t="s">
        <v>224</v>
      </c>
      <c r="E1698" s="24" t="s">
        <v>8</v>
      </c>
      <c r="F1698" s="24" t="s">
        <v>29</v>
      </c>
      <c r="G1698" s="24" t="s">
        <v>30</v>
      </c>
      <c r="H1698" s="24" t="s">
        <v>31</v>
      </c>
      <c r="I1698" s="24" t="s">
        <v>221</v>
      </c>
      <c r="J1698" s="24" t="s">
        <v>222</v>
      </c>
      <c r="K1698" s="24" t="s">
        <v>34</v>
      </c>
      <c r="L1698" s="24" t="s">
        <v>223</v>
      </c>
    </row>
    <row r="1699" spans="1:12" x14ac:dyDescent="0.25">
      <c r="E1699" s="24" t="str">
        <f t="shared" ref="E1699:L1699" si="47">E1695</f>
        <v>D8E33623</v>
      </c>
      <c r="F1699" s="24" t="str">
        <f t="shared" si="47"/>
        <v>539EC07A</v>
      </c>
      <c r="G1699" s="24" t="str">
        <f t="shared" si="47"/>
        <v>2461AC6D</v>
      </c>
      <c r="H1699" s="24" t="str">
        <f t="shared" si="47"/>
        <v>1BFB9DB7</v>
      </c>
      <c r="I1699" s="25" t="str">
        <f t="shared" si="47"/>
        <v>44DA3CD2</v>
      </c>
      <c r="J1699" s="24" t="str">
        <f t="shared" si="47"/>
        <v>EB8DBE64</v>
      </c>
      <c r="K1699" s="24" t="str">
        <f t="shared" si="47"/>
        <v>60E1071B</v>
      </c>
      <c r="L1699" s="24" t="str">
        <f t="shared" si="47"/>
        <v>116BCAA3</v>
      </c>
    </row>
    <row r="1701" spans="1:12" x14ac:dyDescent="0.25">
      <c r="A1701" s="7" t="s">
        <v>363</v>
      </c>
      <c r="B1701" s="7"/>
      <c r="C1701" s="28" t="s">
        <v>223</v>
      </c>
      <c r="D1701" s="26" t="s">
        <v>183</v>
      </c>
      <c r="E1701" s="8" t="s">
        <v>365</v>
      </c>
      <c r="F1701" s="26" t="s">
        <v>183</v>
      </c>
      <c r="G1701" s="8" t="s">
        <v>366</v>
      </c>
      <c r="H1701" s="26" t="s">
        <v>183</v>
      </c>
      <c r="I1701" s="8" t="s">
        <v>367</v>
      </c>
      <c r="J1701" s="26" t="s">
        <v>183</v>
      </c>
      <c r="K1701" s="8" t="s">
        <v>368</v>
      </c>
    </row>
    <row r="1702" spans="1:12" x14ac:dyDescent="0.25">
      <c r="A1702" s="7"/>
    </row>
    <row r="1703" spans="1:12" x14ac:dyDescent="0.25">
      <c r="A1703" s="7"/>
      <c r="C1703" s="27" t="str">
        <f>L1699</f>
        <v>116BCAA3</v>
      </c>
      <c r="E1703" t="str" cm="1">
        <f t="array" ref="E1703">BSIG1_H(I1699)</f>
        <v>BE459A96</v>
      </c>
      <c r="G1703" t="str" cm="1">
        <f t="array" ref="G1703">CH_H(I1699,J1699,K1699)</f>
        <v>60A93F49</v>
      </c>
      <c r="I1703" t="str" cm="1">
        <f t="array" ref="I1703">INDEX(Folha3!$C$15:$J$22,IF(MOD(E1697,8)=0,0,1)+INT(E1697/8),1+MOD(E1697-1,8))</f>
        <v>106aa070</v>
      </c>
      <c r="K1703" t="str" cm="1">
        <f t="array" ref="K1703">INDEX(Folha3!$C$38:$BN$38,1,E1697)</f>
        <v>E4FA7FC7</v>
      </c>
    </row>
    <row r="1704" spans="1:12" x14ac:dyDescent="0.25">
      <c r="A1704" s="7" t="s">
        <v>370</v>
      </c>
      <c r="C1704" s="27" t="str" cm="1">
        <f t="array" ref="C1704">HexToBits(C1703)</f>
        <v>00010001011010111100101010100011</v>
      </c>
      <c r="E1704" t="str" cm="1">
        <f t="array" ref="E1704">HexToBits(E1703)</f>
        <v>10111110010001011001101010010110</v>
      </c>
      <c r="G1704" t="str" cm="1">
        <f t="array" ref="G1704">HexToBits(G1703)</f>
        <v>01100000101010010011111101001001</v>
      </c>
      <c r="I1704" t="str" cm="1">
        <f t="array" ref="I1704">HexToBits(I1703)</f>
        <v>00010000011010101010000001110000</v>
      </c>
      <c r="K1704" t="str" cm="1">
        <f t="array" ref="K1704">HexToBits(K1703)</f>
        <v>11100100111110100111111111000111</v>
      </c>
    </row>
    <row r="1705" spans="1:12" x14ac:dyDescent="0.25">
      <c r="A1705" s="7"/>
    </row>
    <row r="1706" spans="1:12" x14ac:dyDescent="0.25">
      <c r="A1706" s="7" t="s">
        <v>364</v>
      </c>
      <c r="B1706" t="str">
        <f>_xlfn.BASE(
  (_xlfn.DECIMAL(C1704,2)+_xlfn.DECIMAL(E1704,2)+_xlfn.DECIMAL(G1704,2)+_xlfn.DECIMAL(I1704,2)+_xlfn.DECIMAL(K1704,2))
  - (INT((_xlfn.DECIMAL(C1704,2)+_xlfn.DECIMAL(E1704,2)+_xlfn.DECIMAL(G1704,2)+_xlfn.DECIMAL(I1704,2)+_xlfn.DECIMAL(K1704,2)) / 4294967296) * 4294967296),
  2,
  32
)</f>
        <v>00100101101111111100010010111001</v>
      </c>
    </row>
    <row r="1707" spans="1:12" x14ac:dyDescent="0.25">
      <c r="A1707" s="7" t="s">
        <v>369</v>
      </c>
      <c r="B1707" t="str" cm="1">
        <f t="array" ref="B1707">BitsToHex(B1706)</f>
        <v>25BFC4B9</v>
      </c>
    </row>
    <row r="1710" spans="1:12" x14ac:dyDescent="0.25">
      <c r="A1710" s="7" t="s">
        <v>373</v>
      </c>
      <c r="B1710" s="7"/>
      <c r="C1710" s="29" t="s">
        <v>371</v>
      </c>
      <c r="D1710" s="26" t="s">
        <v>183</v>
      </c>
      <c r="E1710" s="8" t="s">
        <v>372</v>
      </c>
      <c r="J1710" s="32"/>
    </row>
    <row r="1711" spans="1:12" x14ac:dyDescent="0.25">
      <c r="A1711" s="7"/>
    </row>
    <row r="1712" spans="1:12" x14ac:dyDescent="0.25">
      <c r="A1712" s="7"/>
      <c r="C1712" s="27" t="str" cm="1">
        <f t="array" ref="C1712">BSIG0_H(E1699)</f>
        <v>CBFE85F2</v>
      </c>
      <c r="E1712" t="str" cm="1">
        <f t="array" ref="E1712">MAJ_H(E1699,F1699,G1699)</f>
        <v>50E3A46B</v>
      </c>
    </row>
    <row r="1713" spans="1:12" x14ac:dyDescent="0.25">
      <c r="A1713" s="7" t="s">
        <v>370</v>
      </c>
      <c r="C1713" s="27" t="str" cm="1">
        <f t="array" ref="C1713">HexToBits(C1712)</f>
        <v>11001011111111101000010111110010</v>
      </c>
      <c r="E1713" t="str" cm="1">
        <f t="array" ref="E1713">HexToBits(E1712)</f>
        <v>01010000111000111010010001101011</v>
      </c>
    </row>
    <row r="1714" spans="1:12" x14ac:dyDescent="0.25">
      <c r="A1714" s="7"/>
    </row>
    <row r="1715" spans="1:12" x14ac:dyDescent="0.25">
      <c r="A1715" s="7" t="s">
        <v>373</v>
      </c>
      <c r="B1715" t="str">
        <f>_xlfn.BASE(MOD(_xlfn.DECIMAL(C1713,2) + _xlfn.DECIMAL(E1713,2), 4294967296), 2, 32)</f>
        <v>00011100111000100010101001011101</v>
      </c>
    </row>
    <row r="1716" spans="1:12" x14ac:dyDescent="0.25">
      <c r="A1716" s="7" t="s">
        <v>369</v>
      </c>
      <c r="B1716" t="str" cm="1">
        <f t="array" ref="B1716">BitsToHex(B1715)</f>
        <v>1CE22A5D</v>
      </c>
    </row>
    <row r="1717" spans="1:12" x14ac:dyDescent="0.25">
      <c r="A1717" s="7"/>
    </row>
    <row r="1718" spans="1:12" x14ac:dyDescent="0.25">
      <c r="A1718" s="7" t="s">
        <v>374</v>
      </c>
      <c r="C1718" s="28" t="s">
        <v>31</v>
      </c>
      <c r="D1718" s="26" t="s">
        <v>183</v>
      </c>
      <c r="E1718" s="7" t="s">
        <v>227</v>
      </c>
    </row>
    <row r="1719" spans="1:12" x14ac:dyDescent="0.25">
      <c r="A1719" s="7"/>
      <c r="C1719" s="28"/>
      <c r="D1719" s="26"/>
      <c r="E1719" s="7"/>
      <c r="L1719" s="16"/>
    </row>
    <row r="1720" spans="1:12" x14ac:dyDescent="0.25">
      <c r="C1720" s="27" t="str" cm="1">
        <f t="array" ref="C1720">HexToBits(H1699)</f>
        <v>00011011111110111001110110110111</v>
      </c>
      <c r="D1720" s="26"/>
      <c r="E1720" t="str">
        <f>B1706</f>
        <v>00100101101111111100010010111001</v>
      </c>
    </row>
    <row r="1721" spans="1:12" x14ac:dyDescent="0.25">
      <c r="A1721" s="7" t="s">
        <v>374</v>
      </c>
      <c r="B1721" t="str">
        <f>_xlfn.BASE(MOD(_xlfn.DECIMAL(C1720,2) + _xlfn.DECIMAL(E1720,2), 4294967296), 2, 32)</f>
        <v>01000001101110110110001001110000</v>
      </c>
      <c r="D1721" s="16"/>
    </row>
    <row r="1722" spans="1:12" x14ac:dyDescent="0.25">
      <c r="A1722" s="7" t="s">
        <v>375</v>
      </c>
      <c r="B1722" t="str" cm="1">
        <f t="array" ref="B1722">BitsToHex(B1721)</f>
        <v>41BB6270</v>
      </c>
      <c r="C1722" s="28"/>
      <c r="D1722" s="26"/>
      <c r="E1722" s="7"/>
    </row>
    <row r="1723" spans="1:12" x14ac:dyDescent="0.25">
      <c r="A1723" s="7"/>
      <c r="C1723" s="28"/>
      <c r="D1723" s="26"/>
      <c r="E1723" s="7"/>
    </row>
    <row r="1724" spans="1:12" x14ac:dyDescent="0.25">
      <c r="A1724" s="7" t="s">
        <v>376</v>
      </c>
      <c r="C1724" s="28" t="s">
        <v>377</v>
      </c>
      <c r="D1724" s="26" t="s">
        <v>183</v>
      </c>
      <c r="E1724" s="7" t="s">
        <v>378</v>
      </c>
    </row>
    <row r="1725" spans="1:12" x14ac:dyDescent="0.25">
      <c r="A1725" s="7"/>
      <c r="C1725" s="27" t="str">
        <f>B1706</f>
        <v>00100101101111111100010010111001</v>
      </c>
      <c r="D1725" s="16"/>
      <c r="E1725" t="str">
        <f>B1715</f>
        <v>00011100111000100010101001011101</v>
      </c>
    </row>
    <row r="1726" spans="1:12" x14ac:dyDescent="0.25">
      <c r="A1726" s="7"/>
      <c r="C1726" s="28"/>
      <c r="D1726" s="26"/>
      <c r="E1726" s="7"/>
    </row>
    <row r="1727" spans="1:12" x14ac:dyDescent="0.25">
      <c r="A1727" s="7" t="s">
        <v>376</v>
      </c>
      <c r="B1727" t="str">
        <f>_xlfn.BASE(MOD(_xlfn.DECIMAL(C1725,2) + _xlfn.DECIMAL(E1725,2), 4294967296), 2, 32)</f>
        <v>01000010101000011110111100010110</v>
      </c>
      <c r="C1727" s="28"/>
      <c r="D1727" s="26"/>
      <c r="E1727" s="7"/>
    </row>
    <row r="1728" spans="1:12" x14ac:dyDescent="0.25">
      <c r="A1728" s="7" t="s">
        <v>375</v>
      </c>
      <c r="B1728" t="str" cm="1">
        <f t="array" ref="B1728">BitsToHex(B1727)</f>
        <v>42A1EF16</v>
      </c>
    </row>
    <row r="1730" spans="1:13" x14ac:dyDescent="0.25">
      <c r="C1730" s="27" t="s">
        <v>225</v>
      </c>
      <c r="E1730" s="24" t="s">
        <v>8</v>
      </c>
      <c r="F1730" s="24" t="s">
        <v>29</v>
      </c>
      <c r="G1730" s="24" t="s">
        <v>30</v>
      </c>
      <c r="H1730" s="24" t="s">
        <v>31</v>
      </c>
      <c r="I1730" s="24" t="s">
        <v>221</v>
      </c>
      <c r="J1730" s="24" t="s">
        <v>222</v>
      </c>
      <c r="K1730" s="24" t="s">
        <v>34</v>
      </c>
      <c r="L1730" s="24" t="s">
        <v>223</v>
      </c>
    </row>
    <row r="1731" spans="1:13" x14ac:dyDescent="0.25">
      <c r="E1731" s="24" t="str">
        <f>B1728</f>
        <v>42A1EF16</v>
      </c>
      <c r="F1731" s="24" t="str">
        <f>E1699</f>
        <v>D8E33623</v>
      </c>
      <c r="G1731" s="24" t="str">
        <f>F1699</f>
        <v>539EC07A</v>
      </c>
      <c r="H1731" s="24" t="str">
        <f>G1699</f>
        <v>2461AC6D</v>
      </c>
      <c r="I1731" s="24" t="str">
        <f>B1722</f>
        <v>41BB6270</v>
      </c>
      <c r="J1731" s="25" t="str">
        <f>I1699</f>
        <v>44DA3CD2</v>
      </c>
      <c r="K1731" s="24" t="str">
        <f>J1699</f>
        <v>EB8DBE64</v>
      </c>
      <c r="L1731" s="24" t="str">
        <f>K1699</f>
        <v>60E1071B</v>
      </c>
    </row>
    <row r="1732" spans="1:13" x14ac:dyDescent="0.25">
      <c r="A1732" s="2"/>
      <c r="B1732" s="2"/>
      <c r="C1732" s="30" t="s">
        <v>379</v>
      </c>
      <c r="D1732" s="2">
        <v>48</v>
      </c>
      <c r="E1732" s="2"/>
      <c r="F1732" s="2"/>
      <c r="G1732" s="2"/>
      <c r="H1732" s="2"/>
      <c r="I1732" s="2"/>
      <c r="J1732" s="2"/>
      <c r="K1732" s="2"/>
      <c r="L1732" s="2"/>
      <c r="M1732" s="2"/>
    </row>
    <row r="1733" spans="1:13" x14ac:dyDescent="0.25">
      <c r="D1733" t="s">
        <v>380</v>
      </c>
      <c r="E1733">
        <f>D1732+1</f>
        <v>49</v>
      </c>
    </row>
    <row r="1734" spans="1:13" x14ac:dyDescent="0.25">
      <c r="C1734" s="27" t="s">
        <v>224</v>
      </c>
      <c r="E1734" s="24" t="s">
        <v>8</v>
      </c>
      <c r="F1734" s="24" t="s">
        <v>29</v>
      </c>
      <c r="G1734" s="24" t="s">
        <v>30</v>
      </c>
      <c r="H1734" s="24" t="s">
        <v>31</v>
      </c>
      <c r="I1734" s="24" t="s">
        <v>221</v>
      </c>
      <c r="J1734" s="24" t="s">
        <v>222</v>
      </c>
      <c r="K1734" s="24" t="s">
        <v>34</v>
      </c>
      <c r="L1734" s="24" t="s">
        <v>223</v>
      </c>
    </row>
    <row r="1735" spans="1:13" x14ac:dyDescent="0.25">
      <c r="E1735" s="24" t="str">
        <f t="shared" ref="E1735:L1735" si="48">E1731</f>
        <v>42A1EF16</v>
      </c>
      <c r="F1735" s="24" t="str">
        <f t="shared" si="48"/>
        <v>D8E33623</v>
      </c>
      <c r="G1735" s="24" t="str">
        <f t="shared" si="48"/>
        <v>539EC07A</v>
      </c>
      <c r="H1735" s="24" t="str">
        <f t="shared" si="48"/>
        <v>2461AC6D</v>
      </c>
      <c r="I1735" s="25" t="str">
        <f t="shared" si="48"/>
        <v>41BB6270</v>
      </c>
      <c r="J1735" s="24" t="str">
        <f t="shared" si="48"/>
        <v>44DA3CD2</v>
      </c>
      <c r="K1735" s="24" t="str">
        <f t="shared" si="48"/>
        <v>EB8DBE64</v>
      </c>
      <c r="L1735" s="24" t="str">
        <f t="shared" si="48"/>
        <v>60E1071B</v>
      </c>
    </row>
    <row r="1737" spans="1:13" x14ac:dyDescent="0.25">
      <c r="A1737" s="7" t="s">
        <v>363</v>
      </c>
      <c r="B1737" s="7"/>
      <c r="C1737" s="28" t="s">
        <v>223</v>
      </c>
      <c r="D1737" s="26" t="s">
        <v>183</v>
      </c>
      <c r="E1737" s="8" t="s">
        <v>365</v>
      </c>
      <c r="F1737" s="26" t="s">
        <v>183</v>
      </c>
      <c r="G1737" s="8" t="s">
        <v>366</v>
      </c>
      <c r="H1737" s="26" t="s">
        <v>183</v>
      </c>
      <c r="I1737" s="8" t="s">
        <v>367</v>
      </c>
      <c r="J1737" s="26" t="s">
        <v>183</v>
      </c>
      <c r="K1737" s="8" t="s">
        <v>368</v>
      </c>
    </row>
    <row r="1738" spans="1:13" x14ac:dyDescent="0.25">
      <c r="A1738" s="7"/>
    </row>
    <row r="1739" spans="1:13" x14ac:dyDescent="0.25">
      <c r="A1739" s="7"/>
      <c r="C1739" s="27" t="str">
        <f>L1735</f>
        <v>60E1071B</v>
      </c>
      <c r="E1739" t="str" cm="1">
        <f t="array" ref="E1739">BSIG1_H(I1735)</f>
        <v>52BFE2C5</v>
      </c>
      <c r="G1739" t="str" cm="1">
        <f t="array" ref="G1739">CH_H(I1735,J1735,K1735)</f>
        <v>EA9EBC54</v>
      </c>
      <c r="I1739" t="str" cm="1">
        <f t="array" ref="I1739">INDEX(Folha3!$C$15:$J$22,IF(MOD(E1733,8)=0,0,1)+INT(E1733/8),1+MOD(E1733-1,8))</f>
        <v>19a4c116</v>
      </c>
      <c r="K1739" t="str" cm="1">
        <f t="array" ref="K1739">INDEX(Folha3!$C$38:$BN$38,1,E1733)</f>
        <v>302C893E</v>
      </c>
    </row>
    <row r="1740" spans="1:13" x14ac:dyDescent="0.25">
      <c r="A1740" s="7" t="s">
        <v>370</v>
      </c>
      <c r="C1740" s="27" t="str" cm="1">
        <f t="array" ref="C1740">HexToBits(C1739)</f>
        <v>01100000111000010000011100011011</v>
      </c>
      <c r="E1740" t="str" cm="1">
        <f t="array" ref="E1740">HexToBits(E1739)</f>
        <v>01010010101111111110001011000101</v>
      </c>
      <c r="G1740" t="str" cm="1">
        <f t="array" ref="G1740">HexToBits(G1739)</f>
        <v>11101010100111101011110001010100</v>
      </c>
      <c r="I1740" t="str" cm="1">
        <f t="array" ref="I1740">HexToBits(I1739)</f>
        <v>00011001101001001100000100010110</v>
      </c>
      <c r="K1740" t="str" cm="1">
        <f t="array" ref="K1740">HexToBits(K1739)</f>
        <v>00110000001011001000100100111110</v>
      </c>
    </row>
    <row r="1741" spans="1:13" x14ac:dyDescent="0.25">
      <c r="A1741" s="7"/>
    </row>
    <row r="1742" spans="1:13" x14ac:dyDescent="0.25">
      <c r="A1742" s="7" t="s">
        <v>364</v>
      </c>
      <c r="B1742" t="str">
        <f>_xlfn.BASE(
  (_xlfn.DECIMAL(C1740,2)+_xlfn.DECIMAL(E1740,2)+_xlfn.DECIMAL(G1740,2)+_xlfn.DECIMAL(I1740,2)+_xlfn.DECIMAL(K1740,2))
  - (INT((_xlfn.DECIMAL(C1740,2)+_xlfn.DECIMAL(E1740,2)+_xlfn.DECIMAL(G1740,2)+_xlfn.DECIMAL(I1740,2)+_xlfn.DECIMAL(K1740,2)) / 4294967296) * 4294967296),
  2,
  32
)</f>
        <v>11101000000100001111000010001000</v>
      </c>
    </row>
    <row r="1743" spans="1:13" x14ac:dyDescent="0.25">
      <c r="A1743" s="7" t="s">
        <v>369</v>
      </c>
      <c r="B1743" t="str" cm="1">
        <f t="array" ref="B1743">BitsToHex(B1742)</f>
        <v>E810F088</v>
      </c>
    </row>
    <row r="1746" spans="1:12" x14ac:dyDescent="0.25">
      <c r="A1746" s="7" t="s">
        <v>373</v>
      </c>
      <c r="B1746" s="7"/>
      <c r="C1746" s="29" t="s">
        <v>371</v>
      </c>
      <c r="D1746" s="26" t="s">
        <v>183</v>
      </c>
      <c r="E1746" s="8" t="s">
        <v>372</v>
      </c>
      <c r="J1746" s="32"/>
    </row>
    <row r="1747" spans="1:12" x14ac:dyDescent="0.25">
      <c r="A1747" s="7"/>
    </row>
    <row r="1748" spans="1:12" x14ac:dyDescent="0.25">
      <c r="A1748" s="7"/>
      <c r="C1748" s="27" t="str" cm="1">
        <f t="array" ref="C1748">BSIG0_H(E1735)</f>
        <v>6FA637C0</v>
      </c>
      <c r="E1748" t="str" cm="1">
        <f t="array" ref="E1748">MAJ_H(E1735,F1735,G1735)</f>
        <v>52A3E632</v>
      </c>
    </row>
    <row r="1749" spans="1:12" x14ac:dyDescent="0.25">
      <c r="A1749" s="7" t="s">
        <v>370</v>
      </c>
      <c r="C1749" s="27" t="str" cm="1">
        <f t="array" ref="C1749">HexToBits(C1748)</f>
        <v>01101111101001100011011111000000</v>
      </c>
      <c r="E1749" t="str" cm="1">
        <f t="array" ref="E1749">HexToBits(E1748)</f>
        <v>01010010101000111110011000110010</v>
      </c>
    </row>
    <row r="1750" spans="1:12" x14ac:dyDescent="0.25">
      <c r="A1750" s="7"/>
    </row>
    <row r="1751" spans="1:12" x14ac:dyDescent="0.25">
      <c r="A1751" s="7" t="s">
        <v>373</v>
      </c>
      <c r="B1751" t="str">
        <f>_xlfn.BASE(MOD(_xlfn.DECIMAL(C1749,2) + _xlfn.DECIMAL(E1749,2), 4294967296), 2, 32)</f>
        <v>11000010010010100001110111110010</v>
      </c>
    </row>
    <row r="1752" spans="1:12" x14ac:dyDescent="0.25">
      <c r="A1752" s="7" t="s">
        <v>369</v>
      </c>
      <c r="B1752" t="str" cm="1">
        <f t="array" ref="B1752">BitsToHex(B1751)</f>
        <v>C24A1DF2</v>
      </c>
    </row>
    <row r="1753" spans="1:12" x14ac:dyDescent="0.25">
      <c r="A1753" s="7"/>
    </row>
    <row r="1754" spans="1:12" x14ac:dyDescent="0.25">
      <c r="A1754" s="7" t="s">
        <v>374</v>
      </c>
      <c r="C1754" s="28" t="s">
        <v>31</v>
      </c>
      <c r="D1754" s="26" t="s">
        <v>183</v>
      </c>
      <c r="E1754" s="7" t="s">
        <v>227</v>
      </c>
    </row>
    <row r="1755" spans="1:12" x14ac:dyDescent="0.25">
      <c r="A1755" s="7"/>
      <c r="C1755" s="28"/>
      <c r="D1755" s="26"/>
      <c r="E1755" s="7"/>
      <c r="L1755" s="16"/>
    </row>
    <row r="1756" spans="1:12" x14ac:dyDescent="0.25">
      <c r="C1756" s="27" t="str" cm="1">
        <f t="array" ref="C1756">HexToBits(H1735)</f>
        <v>00100100011000011010110001101101</v>
      </c>
      <c r="D1756" s="26"/>
      <c r="E1756" t="str">
        <f>B1742</f>
        <v>11101000000100001111000010001000</v>
      </c>
    </row>
    <row r="1757" spans="1:12" x14ac:dyDescent="0.25">
      <c r="A1757" s="7" t="s">
        <v>374</v>
      </c>
      <c r="B1757" t="str">
        <f>_xlfn.BASE(MOD(_xlfn.DECIMAL(C1756,2) + _xlfn.DECIMAL(E1756,2), 4294967296), 2, 32)</f>
        <v>00001100011100101001110011110101</v>
      </c>
      <c r="D1757" s="16"/>
    </row>
    <row r="1758" spans="1:12" x14ac:dyDescent="0.25">
      <c r="A1758" s="7" t="s">
        <v>375</v>
      </c>
      <c r="B1758" t="str" cm="1">
        <f t="array" ref="B1758">BitsToHex(B1757)</f>
        <v>0C729CF5</v>
      </c>
      <c r="C1758" s="28"/>
      <c r="D1758" s="26"/>
      <c r="E1758" s="7"/>
    </row>
    <row r="1759" spans="1:12" x14ac:dyDescent="0.25">
      <c r="A1759" s="7"/>
      <c r="C1759" s="28"/>
      <c r="D1759" s="26"/>
      <c r="E1759" s="7"/>
    </row>
    <row r="1760" spans="1:12" x14ac:dyDescent="0.25">
      <c r="A1760" s="7" t="s">
        <v>376</v>
      </c>
      <c r="C1760" s="28" t="s">
        <v>377</v>
      </c>
      <c r="D1760" s="26" t="s">
        <v>183</v>
      </c>
      <c r="E1760" s="7" t="s">
        <v>378</v>
      </c>
    </row>
    <row r="1761" spans="1:13" x14ac:dyDescent="0.25">
      <c r="A1761" s="7"/>
      <c r="C1761" s="27" t="str">
        <f>B1742</f>
        <v>11101000000100001111000010001000</v>
      </c>
      <c r="D1761" s="16"/>
      <c r="E1761" t="str">
        <f>B1751</f>
        <v>11000010010010100001110111110010</v>
      </c>
    </row>
    <row r="1762" spans="1:13" x14ac:dyDescent="0.25">
      <c r="A1762" s="7"/>
      <c r="C1762" s="28"/>
      <c r="D1762" s="26"/>
      <c r="E1762" s="7"/>
    </row>
    <row r="1763" spans="1:13" x14ac:dyDescent="0.25">
      <c r="A1763" s="7" t="s">
        <v>376</v>
      </c>
      <c r="B1763" t="str">
        <f>_xlfn.BASE(MOD(_xlfn.DECIMAL(C1761,2) + _xlfn.DECIMAL(E1761,2), 4294967296), 2, 32)</f>
        <v>10101010010110110000111001111010</v>
      </c>
      <c r="C1763" s="28"/>
      <c r="D1763" s="26"/>
      <c r="E1763" s="7"/>
    </row>
    <row r="1764" spans="1:13" x14ac:dyDescent="0.25">
      <c r="A1764" s="7" t="s">
        <v>375</v>
      </c>
      <c r="B1764" t="str" cm="1">
        <f t="array" ref="B1764">BitsToHex(B1763)</f>
        <v>AA5B0E7A</v>
      </c>
    </row>
    <row r="1766" spans="1:13" x14ac:dyDescent="0.25">
      <c r="C1766" s="27" t="s">
        <v>225</v>
      </c>
      <c r="E1766" s="24" t="s">
        <v>8</v>
      </c>
      <c r="F1766" s="24" t="s">
        <v>29</v>
      </c>
      <c r="G1766" s="24" t="s">
        <v>30</v>
      </c>
      <c r="H1766" s="24" t="s">
        <v>31</v>
      </c>
      <c r="I1766" s="24" t="s">
        <v>221</v>
      </c>
      <c r="J1766" s="24" t="s">
        <v>222</v>
      </c>
      <c r="K1766" s="24" t="s">
        <v>34</v>
      </c>
      <c r="L1766" s="24" t="s">
        <v>223</v>
      </c>
    </row>
    <row r="1767" spans="1:13" x14ac:dyDescent="0.25">
      <c r="E1767" s="24" t="str">
        <f>B1764</f>
        <v>AA5B0E7A</v>
      </c>
      <c r="F1767" s="24" t="str">
        <f>E1735</f>
        <v>42A1EF16</v>
      </c>
      <c r="G1767" s="24" t="str">
        <f>F1735</f>
        <v>D8E33623</v>
      </c>
      <c r="H1767" s="24" t="str">
        <f>G1735</f>
        <v>539EC07A</v>
      </c>
      <c r="I1767" s="24" t="str">
        <f>B1758</f>
        <v>0C729CF5</v>
      </c>
      <c r="J1767" s="25" t="str">
        <f>I1735</f>
        <v>41BB6270</v>
      </c>
      <c r="K1767" s="24" t="str">
        <f>J1735</f>
        <v>44DA3CD2</v>
      </c>
      <c r="L1767" s="24" t="str">
        <f>K1735</f>
        <v>EB8DBE64</v>
      </c>
    </row>
    <row r="1768" spans="1:13" x14ac:dyDescent="0.25">
      <c r="A1768" s="2"/>
      <c r="B1768" s="2"/>
      <c r="C1768" s="30" t="s">
        <v>379</v>
      </c>
      <c r="D1768" s="2">
        <v>49</v>
      </c>
      <c r="E1768" s="2"/>
      <c r="F1768" s="2"/>
      <c r="G1768" s="2"/>
      <c r="H1768" s="2"/>
      <c r="I1768" s="2"/>
      <c r="J1768" s="2"/>
      <c r="K1768" s="2"/>
      <c r="L1768" s="2"/>
      <c r="M1768" s="2"/>
    </row>
    <row r="1769" spans="1:13" x14ac:dyDescent="0.25">
      <c r="D1769" t="s">
        <v>380</v>
      </c>
      <c r="E1769">
        <f>D1768+1</f>
        <v>50</v>
      </c>
    </row>
    <row r="1770" spans="1:13" x14ac:dyDescent="0.25">
      <c r="C1770" s="27" t="s">
        <v>224</v>
      </c>
      <c r="E1770" s="24" t="s">
        <v>8</v>
      </c>
      <c r="F1770" s="24" t="s">
        <v>29</v>
      </c>
      <c r="G1770" s="24" t="s">
        <v>30</v>
      </c>
      <c r="H1770" s="24" t="s">
        <v>31</v>
      </c>
      <c r="I1770" s="24" t="s">
        <v>221</v>
      </c>
      <c r="J1770" s="24" t="s">
        <v>222</v>
      </c>
      <c r="K1770" s="24" t="s">
        <v>34</v>
      </c>
      <c r="L1770" s="24" t="s">
        <v>223</v>
      </c>
    </row>
    <row r="1771" spans="1:13" x14ac:dyDescent="0.25">
      <c r="E1771" s="24" t="str">
        <f t="shared" ref="E1771:L1771" si="49">E1767</f>
        <v>AA5B0E7A</v>
      </c>
      <c r="F1771" s="24" t="str">
        <f t="shared" si="49"/>
        <v>42A1EF16</v>
      </c>
      <c r="G1771" s="24" t="str">
        <f t="shared" si="49"/>
        <v>D8E33623</v>
      </c>
      <c r="H1771" s="24" t="str">
        <f t="shared" si="49"/>
        <v>539EC07A</v>
      </c>
      <c r="I1771" s="25" t="str">
        <f t="shared" si="49"/>
        <v>0C729CF5</v>
      </c>
      <c r="J1771" s="24" t="str">
        <f t="shared" si="49"/>
        <v>41BB6270</v>
      </c>
      <c r="K1771" s="24" t="str">
        <f t="shared" si="49"/>
        <v>44DA3CD2</v>
      </c>
      <c r="L1771" s="24" t="str">
        <f t="shared" si="49"/>
        <v>EB8DBE64</v>
      </c>
    </row>
    <row r="1773" spans="1:13" x14ac:dyDescent="0.25">
      <c r="A1773" s="7" t="s">
        <v>363</v>
      </c>
      <c r="B1773" s="7"/>
      <c r="C1773" s="28" t="s">
        <v>223</v>
      </c>
      <c r="D1773" s="26" t="s">
        <v>183</v>
      </c>
      <c r="E1773" s="8" t="s">
        <v>365</v>
      </c>
      <c r="F1773" s="26" t="s">
        <v>183</v>
      </c>
      <c r="G1773" s="8" t="s">
        <v>366</v>
      </c>
      <c r="H1773" s="26" t="s">
        <v>183</v>
      </c>
      <c r="I1773" s="8" t="s">
        <v>367</v>
      </c>
      <c r="J1773" s="26" t="s">
        <v>183</v>
      </c>
      <c r="K1773" s="8" t="s">
        <v>368</v>
      </c>
    </row>
    <row r="1774" spans="1:13" x14ac:dyDescent="0.25">
      <c r="A1774" s="7"/>
    </row>
    <row r="1775" spans="1:13" x14ac:dyDescent="0.25">
      <c r="A1775" s="7"/>
      <c r="C1775" s="27" t="str">
        <f>L1771</f>
        <v>EB8DBE64</v>
      </c>
      <c r="E1775" t="str" cm="1">
        <f t="array" ref="E1775">BSIG1_H(I1771)</f>
        <v>73DE3EA6</v>
      </c>
      <c r="G1775" t="str" cm="1">
        <f t="array" ref="G1775">CH_H(I1771,J1771,K1771)</f>
        <v>40BA2072</v>
      </c>
      <c r="I1775" t="str" cm="1">
        <f t="array" ref="I1775">INDEX(Folha3!$C$15:$J$22,IF(MOD(E1769,8)=0,0,1)+INT(E1769/8),1+MOD(E1769-1,8))</f>
        <v>1e376c08</v>
      </c>
      <c r="K1775" t="str" cm="1">
        <f t="array" ref="K1775">INDEX(Folha3!$C$38:$BN$38,1,E1769)</f>
        <v>169BA6B8</v>
      </c>
    </row>
    <row r="1776" spans="1:13" x14ac:dyDescent="0.25">
      <c r="A1776" s="7" t="s">
        <v>370</v>
      </c>
      <c r="C1776" s="27" t="str" cm="1">
        <f t="array" ref="C1776">HexToBits(C1775)</f>
        <v>11101011100011011011111001100100</v>
      </c>
      <c r="E1776" t="str" cm="1">
        <f t="array" ref="E1776">HexToBits(E1775)</f>
        <v>01110011110111100011111010100110</v>
      </c>
      <c r="G1776" t="str" cm="1">
        <f t="array" ref="G1776">HexToBits(G1775)</f>
        <v>01000000101110100010000001110010</v>
      </c>
      <c r="I1776" t="str" cm="1">
        <f t="array" ref="I1776">HexToBits(I1775)</f>
        <v>00011110001101110110110000001000</v>
      </c>
      <c r="K1776" t="str" cm="1">
        <f t="array" ref="K1776">HexToBits(K1775)</f>
        <v>00010110100110111010011010111000</v>
      </c>
    </row>
    <row r="1777" spans="1:12" x14ac:dyDescent="0.25">
      <c r="A1777" s="7"/>
    </row>
    <row r="1778" spans="1:12" x14ac:dyDescent="0.25">
      <c r="A1778" s="7" t="s">
        <v>364</v>
      </c>
      <c r="B1778" t="str">
        <f>_xlfn.BASE(
  (_xlfn.DECIMAL(C1776,2)+_xlfn.DECIMAL(E1776,2)+_xlfn.DECIMAL(G1776,2)+_xlfn.DECIMAL(I1776,2)+_xlfn.DECIMAL(K1776,2))
  - (INT((_xlfn.DECIMAL(C1776,2)+_xlfn.DECIMAL(E1776,2)+_xlfn.DECIMAL(G1776,2)+_xlfn.DECIMAL(I1776,2)+_xlfn.DECIMAL(K1776,2)) / 4294967296) * 4294967296),
  2,
  32
)</f>
        <v>11010100111110010011000000111100</v>
      </c>
    </row>
    <row r="1779" spans="1:12" x14ac:dyDescent="0.25">
      <c r="A1779" s="7" t="s">
        <v>369</v>
      </c>
      <c r="B1779" t="str" cm="1">
        <f t="array" ref="B1779">BitsToHex(B1778)</f>
        <v>D4F9303C</v>
      </c>
    </row>
    <row r="1782" spans="1:12" x14ac:dyDescent="0.25">
      <c r="A1782" s="7" t="s">
        <v>373</v>
      </c>
      <c r="B1782" s="7"/>
      <c r="C1782" s="29" t="s">
        <v>371</v>
      </c>
      <c r="D1782" s="26" t="s">
        <v>183</v>
      </c>
      <c r="E1782" s="8" t="s">
        <v>372</v>
      </c>
      <c r="J1782" s="32"/>
    </row>
    <row r="1783" spans="1:12" x14ac:dyDescent="0.25">
      <c r="A1783" s="7"/>
    </row>
    <row r="1784" spans="1:12" x14ac:dyDescent="0.25">
      <c r="A1784" s="7"/>
      <c r="C1784" s="27" t="str" cm="1">
        <f t="array" ref="C1784">BSIG0_H(E1771)</f>
        <v>B57A7BEF</v>
      </c>
      <c r="E1784" t="str" cm="1">
        <f t="array" ref="E1784">MAJ_H(E1771,F1771,G1771)</f>
        <v>CAE32E32</v>
      </c>
    </row>
    <row r="1785" spans="1:12" x14ac:dyDescent="0.25">
      <c r="A1785" s="7" t="s">
        <v>370</v>
      </c>
      <c r="C1785" s="27" t="str" cm="1">
        <f t="array" ref="C1785">HexToBits(C1784)</f>
        <v>10110101011110100111101111101111</v>
      </c>
      <c r="E1785" t="str" cm="1">
        <f t="array" ref="E1785">HexToBits(E1784)</f>
        <v>11001010111000110010111000110010</v>
      </c>
    </row>
    <row r="1786" spans="1:12" x14ac:dyDescent="0.25">
      <c r="A1786" s="7"/>
    </row>
    <row r="1787" spans="1:12" x14ac:dyDescent="0.25">
      <c r="A1787" s="7" t="s">
        <v>373</v>
      </c>
      <c r="B1787" t="str">
        <f>_xlfn.BASE(MOD(_xlfn.DECIMAL(C1785,2) + _xlfn.DECIMAL(E1785,2), 4294967296), 2, 32)</f>
        <v>10000000010111011010101000100001</v>
      </c>
    </row>
    <row r="1788" spans="1:12" x14ac:dyDescent="0.25">
      <c r="A1788" s="7" t="s">
        <v>369</v>
      </c>
      <c r="B1788" t="str" cm="1">
        <f t="array" ref="B1788">BitsToHex(B1787)</f>
        <v>805DAA21</v>
      </c>
    </row>
    <row r="1789" spans="1:12" x14ac:dyDescent="0.25">
      <c r="A1789" s="7"/>
    </row>
    <row r="1790" spans="1:12" x14ac:dyDescent="0.25">
      <c r="A1790" s="7" t="s">
        <v>374</v>
      </c>
      <c r="C1790" s="28" t="s">
        <v>31</v>
      </c>
      <c r="D1790" s="26" t="s">
        <v>183</v>
      </c>
      <c r="E1790" s="7" t="s">
        <v>227</v>
      </c>
    </row>
    <row r="1791" spans="1:12" x14ac:dyDescent="0.25">
      <c r="A1791" s="7"/>
      <c r="C1791" s="28"/>
      <c r="D1791" s="26"/>
      <c r="E1791" s="7"/>
      <c r="L1791" s="16"/>
    </row>
    <row r="1792" spans="1:12" x14ac:dyDescent="0.25">
      <c r="C1792" s="27" t="str" cm="1">
        <f t="array" ref="C1792">HexToBits(H1771)</f>
        <v>01010011100111101100000001111010</v>
      </c>
      <c r="D1792" s="26"/>
      <c r="E1792" t="str">
        <f>B1778</f>
        <v>11010100111110010011000000111100</v>
      </c>
    </row>
    <row r="1793" spans="1:13" x14ac:dyDescent="0.25">
      <c r="A1793" s="7" t="s">
        <v>374</v>
      </c>
      <c r="B1793" t="str">
        <f>_xlfn.BASE(MOD(_xlfn.DECIMAL(C1792,2) + _xlfn.DECIMAL(E1792,2), 4294967296), 2, 32)</f>
        <v>00101000100101111111000010110110</v>
      </c>
      <c r="D1793" s="16"/>
    </row>
    <row r="1794" spans="1:13" x14ac:dyDescent="0.25">
      <c r="A1794" s="7" t="s">
        <v>375</v>
      </c>
      <c r="B1794" t="str" cm="1">
        <f t="array" ref="B1794">BitsToHex(B1793)</f>
        <v>2897F0B6</v>
      </c>
      <c r="C1794" s="28"/>
      <c r="D1794" s="26"/>
      <c r="E1794" s="7"/>
    </row>
    <row r="1795" spans="1:13" x14ac:dyDescent="0.25">
      <c r="A1795" s="7"/>
      <c r="C1795" s="28"/>
      <c r="D1795" s="26"/>
      <c r="E1795" s="7"/>
    </row>
    <row r="1796" spans="1:13" x14ac:dyDescent="0.25">
      <c r="A1796" s="7" t="s">
        <v>376</v>
      </c>
      <c r="C1796" s="28" t="s">
        <v>377</v>
      </c>
      <c r="D1796" s="26" t="s">
        <v>183</v>
      </c>
      <c r="E1796" s="7" t="s">
        <v>378</v>
      </c>
    </row>
    <row r="1797" spans="1:13" x14ac:dyDescent="0.25">
      <c r="A1797" s="7"/>
      <c r="C1797" s="27" t="str">
        <f>B1778</f>
        <v>11010100111110010011000000111100</v>
      </c>
      <c r="D1797" s="16"/>
      <c r="E1797" t="str">
        <f>B1787</f>
        <v>10000000010111011010101000100001</v>
      </c>
    </row>
    <row r="1798" spans="1:13" x14ac:dyDescent="0.25">
      <c r="A1798" s="7"/>
      <c r="C1798" s="28"/>
      <c r="D1798" s="26"/>
      <c r="E1798" s="7"/>
    </row>
    <row r="1799" spans="1:13" x14ac:dyDescent="0.25">
      <c r="A1799" s="7" t="s">
        <v>376</v>
      </c>
      <c r="B1799" t="str">
        <f>_xlfn.BASE(MOD(_xlfn.DECIMAL(C1797,2) + _xlfn.DECIMAL(E1797,2), 4294967296), 2, 32)</f>
        <v>01010101010101101101101001011101</v>
      </c>
      <c r="C1799" s="28"/>
      <c r="D1799" s="26"/>
      <c r="E1799" s="7"/>
    </row>
    <row r="1800" spans="1:13" x14ac:dyDescent="0.25">
      <c r="A1800" s="7" t="s">
        <v>375</v>
      </c>
      <c r="B1800" t="str" cm="1">
        <f t="array" ref="B1800">BitsToHex(B1799)</f>
        <v>5556DA5D</v>
      </c>
    </row>
    <row r="1802" spans="1:13" x14ac:dyDescent="0.25">
      <c r="C1802" s="27" t="s">
        <v>225</v>
      </c>
      <c r="E1802" s="24" t="s">
        <v>8</v>
      </c>
      <c r="F1802" s="24" t="s">
        <v>29</v>
      </c>
      <c r="G1802" s="24" t="s">
        <v>30</v>
      </c>
      <c r="H1802" s="24" t="s">
        <v>31</v>
      </c>
      <c r="I1802" s="24" t="s">
        <v>221</v>
      </c>
      <c r="J1802" s="24" t="s">
        <v>222</v>
      </c>
      <c r="K1802" s="24" t="s">
        <v>34</v>
      </c>
      <c r="L1802" s="24" t="s">
        <v>223</v>
      </c>
    </row>
    <row r="1803" spans="1:13" x14ac:dyDescent="0.25">
      <c r="E1803" s="24" t="str">
        <f>B1800</f>
        <v>5556DA5D</v>
      </c>
      <c r="F1803" s="24" t="str">
        <f>E1771</f>
        <v>AA5B0E7A</v>
      </c>
      <c r="G1803" s="24" t="str">
        <f>F1771</f>
        <v>42A1EF16</v>
      </c>
      <c r="H1803" s="24" t="str">
        <f>G1771</f>
        <v>D8E33623</v>
      </c>
      <c r="I1803" s="24" t="str">
        <f>B1794</f>
        <v>2897F0B6</v>
      </c>
      <c r="J1803" s="25" t="str">
        <f>I1771</f>
        <v>0C729CF5</v>
      </c>
      <c r="K1803" s="24" t="str">
        <f>J1771</f>
        <v>41BB6270</v>
      </c>
      <c r="L1803" s="24" t="str">
        <f>K1771</f>
        <v>44DA3CD2</v>
      </c>
    </row>
    <row r="1804" spans="1:13" x14ac:dyDescent="0.25">
      <c r="A1804" s="2"/>
      <c r="B1804" s="2"/>
      <c r="C1804" s="30" t="s">
        <v>379</v>
      </c>
      <c r="D1804" s="2">
        <v>50</v>
      </c>
      <c r="E1804" s="2"/>
      <c r="F1804" s="2"/>
      <c r="G1804" s="2"/>
      <c r="H1804" s="2"/>
      <c r="I1804" s="2"/>
      <c r="J1804" s="2"/>
      <c r="K1804" s="2"/>
      <c r="L1804" s="2"/>
      <c r="M1804" s="2"/>
    </row>
    <row r="1805" spans="1:13" x14ac:dyDescent="0.25">
      <c r="D1805" t="s">
        <v>380</v>
      </c>
      <c r="E1805">
        <f>D1804+1</f>
        <v>51</v>
      </c>
    </row>
    <row r="1806" spans="1:13" x14ac:dyDescent="0.25">
      <c r="C1806" s="27" t="s">
        <v>224</v>
      </c>
      <c r="E1806" s="24" t="s">
        <v>8</v>
      </c>
      <c r="F1806" s="24" t="s">
        <v>29</v>
      </c>
      <c r="G1806" s="24" t="s">
        <v>30</v>
      </c>
      <c r="H1806" s="24" t="s">
        <v>31</v>
      </c>
      <c r="I1806" s="24" t="s">
        <v>221</v>
      </c>
      <c r="J1806" s="24" t="s">
        <v>222</v>
      </c>
      <c r="K1806" s="24" t="s">
        <v>34</v>
      </c>
      <c r="L1806" s="24" t="s">
        <v>223</v>
      </c>
    </row>
    <row r="1807" spans="1:13" x14ac:dyDescent="0.25">
      <c r="E1807" s="24" t="str">
        <f t="shared" ref="E1807:L1807" si="50">E1803</f>
        <v>5556DA5D</v>
      </c>
      <c r="F1807" s="24" t="str">
        <f t="shared" si="50"/>
        <v>AA5B0E7A</v>
      </c>
      <c r="G1807" s="24" t="str">
        <f t="shared" si="50"/>
        <v>42A1EF16</v>
      </c>
      <c r="H1807" s="24" t="str">
        <f t="shared" si="50"/>
        <v>D8E33623</v>
      </c>
      <c r="I1807" s="25" t="str">
        <f t="shared" si="50"/>
        <v>2897F0B6</v>
      </c>
      <c r="J1807" s="24" t="str">
        <f t="shared" si="50"/>
        <v>0C729CF5</v>
      </c>
      <c r="K1807" s="24" t="str">
        <f t="shared" si="50"/>
        <v>41BB6270</v>
      </c>
      <c r="L1807" s="24" t="str">
        <f t="shared" si="50"/>
        <v>44DA3CD2</v>
      </c>
    </row>
    <row r="1809" spans="1:11" x14ac:dyDescent="0.25">
      <c r="A1809" s="7" t="s">
        <v>363</v>
      </c>
      <c r="B1809" s="7"/>
      <c r="C1809" s="28" t="s">
        <v>223</v>
      </c>
      <c r="D1809" s="26" t="s">
        <v>183</v>
      </c>
      <c r="E1809" s="8" t="s">
        <v>365</v>
      </c>
      <c r="F1809" s="26" t="s">
        <v>183</v>
      </c>
      <c r="G1809" s="8" t="s">
        <v>366</v>
      </c>
      <c r="H1809" s="26" t="s">
        <v>183</v>
      </c>
      <c r="I1809" s="8" t="s">
        <v>367</v>
      </c>
      <c r="J1809" s="26" t="s">
        <v>183</v>
      </c>
      <c r="K1809" s="8" t="s">
        <v>368</v>
      </c>
    </row>
    <row r="1810" spans="1:11" x14ac:dyDescent="0.25">
      <c r="A1810" s="7"/>
    </row>
    <row r="1811" spans="1:11" x14ac:dyDescent="0.25">
      <c r="A1811" s="7"/>
      <c r="C1811" s="27" t="str">
        <f>L1807</f>
        <v>44DA3CD2</v>
      </c>
      <c r="E1811" t="str" cm="1">
        <f t="array" ref="E1811">BSIG1_H(I1807)</f>
        <v>859F1628</v>
      </c>
      <c r="G1811" t="str" cm="1">
        <f t="array" ref="G1811">CH_H(I1807,J1807,K1807)</f>
        <v>493A92F4</v>
      </c>
      <c r="I1811" t="str" cm="1">
        <f t="array" ref="I1811">INDEX(Folha3!$C$15:$J$22,IF(MOD(E1805,8)=0,0,1)+INT(E1805/8),1+MOD(E1805-1,8))</f>
        <v>2748774c</v>
      </c>
      <c r="K1811" t="str" cm="1">
        <f t="array" ref="K1811">INDEX(Folha3!$C$38:$BN$38,1,E1805)</f>
        <v>07750735</v>
      </c>
    </row>
    <row r="1812" spans="1:11" x14ac:dyDescent="0.25">
      <c r="A1812" s="7" t="s">
        <v>370</v>
      </c>
      <c r="C1812" s="27" t="str" cm="1">
        <f t="array" ref="C1812">HexToBits(C1811)</f>
        <v>01000100110110100011110011010010</v>
      </c>
      <c r="E1812" t="str" cm="1">
        <f t="array" ref="E1812">HexToBits(E1811)</f>
        <v>10000101100111110001011000101000</v>
      </c>
      <c r="G1812" t="str" cm="1">
        <f t="array" ref="G1812">HexToBits(G1811)</f>
        <v>01001001001110101001001011110100</v>
      </c>
      <c r="I1812" t="str" cm="1">
        <f t="array" ref="I1812">HexToBits(I1811)</f>
        <v>00100111010010000111011101001100</v>
      </c>
      <c r="K1812" t="str" cm="1">
        <f t="array" ref="K1812">HexToBits(K1811)</f>
        <v>00000111011101010000011100110101</v>
      </c>
    </row>
    <row r="1813" spans="1:11" x14ac:dyDescent="0.25">
      <c r="A1813" s="7"/>
    </row>
    <row r="1814" spans="1:11" x14ac:dyDescent="0.25">
      <c r="A1814" s="7" t="s">
        <v>364</v>
      </c>
      <c r="B1814" t="str">
        <f>_xlfn.BASE(
  (_xlfn.DECIMAL(C1812,2)+_xlfn.DECIMAL(E1812,2)+_xlfn.DECIMAL(G1812,2)+_xlfn.DECIMAL(I1812,2)+_xlfn.DECIMAL(K1812,2))
  - (INT((_xlfn.DECIMAL(C1812,2)+_xlfn.DECIMAL(E1812,2)+_xlfn.DECIMAL(G1812,2)+_xlfn.DECIMAL(I1812,2)+_xlfn.DECIMAL(K1812,2)) / 4294967296) * 4294967296),
  2,
  32
)</f>
        <v>01000010011100010110010001101111</v>
      </c>
    </row>
    <row r="1815" spans="1:11" x14ac:dyDescent="0.25">
      <c r="A1815" s="7" t="s">
        <v>369</v>
      </c>
      <c r="B1815" t="str" cm="1">
        <f t="array" ref="B1815">BitsToHex(B1814)</f>
        <v>4271646F</v>
      </c>
    </row>
    <row r="1818" spans="1:11" x14ac:dyDescent="0.25">
      <c r="A1818" s="7" t="s">
        <v>373</v>
      </c>
      <c r="B1818" s="7"/>
      <c r="C1818" s="29" t="s">
        <v>371</v>
      </c>
      <c r="D1818" s="26" t="s">
        <v>183</v>
      </c>
      <c r="E1818" s="8" t="s">
        <v>372</v>
      </c>
      <c r="J1818" s="32"/>
    </row>
    <row r="1819" spans="1:11" x14ac:dyDescent="0.25">
      <c r="A1819" s="7"/>
    </row>
    <row r="1820" spans="1:11" x14ac:dyDescent="0.25">
      <c r="A1820" s="7"/>
      <c r="C1820" s="27" t="str" cm="1">
        <f t="array" ref="C1820">BSIG0_H(E1807)</f>
        <v>DCD66974</v>
      </c>
      <c r="E1820" t="str" cm="1">
        <f t="array" ref="E1820">MAJ_H(E1807,F1807,G1807)</f>
        <v>4253CE5E</v>
      </c>
    </row>
    <row r="1821" spans="1:11" x14ac:dyDescent="0.25">
      <c r="A1821" s="7" t="s">
        <v>370</v>
      </c>
      <c r="C1821" s="27" t="str" cm="1">
        <f t="array" ref="C1821">HexToBits(C1820)</f>
        <v>11011100110101100110100101110100</v>
      </c>
      <c r="E1821" t="str" cm="1">
        <f t="array" ref="E1821">HexToBits(E1820)</f>
        <v>01000010010100111100111001011110</v>
      </c>
    </row>
    <row r="1822" spans="1:11" x14ac:dyDescent="0.25">
      <c r="A1822" s="7"/>
    </row>
    <row r="1823" spans="1:11" x14ac:dyDescent="0.25">
      <c r="A1823" s="7" t="s">
        <v>373</v>
      </c>
      <c r="B1823" t="str">
        <f>_xlfn.BASE(MOD(_xlfn.DECIMAL(C1821,2) + _xlfn.DECIMAL(E1821,2), 4294967296), 2, 32)</f>
        <v>00011111001010100011011111010010</v>
      </c>
    </row>
    <row r="1824" spans="1:11" x14ac:dyDescent="0.25">
      <c r="A1824" s="7" t="s">
        <v>369</v>
      </c>
      <c r="B1824" t="str" cm="1">
        <f t="array" ref="B1824">BitsToHex(B1823)</f>
        <v>1F2A37D2</v>
      </c>
    </row>
    <row r="1825" spans="1:13" x14ac:dyDescent="0.25">
      <c r="A1825" s="7"/>
    </row>
    <row r="1826" spans="1:13" x14ac:dyDescent="0.25">
      <c r="A1826" s="7" t="s">
        <v>374</v>
      </c>
      <c r="C1826" s="28" t="s">
        <v>31</v>
      </c>
      <c r="D1826" s="26" t="s">
        <v>183</v>
      </c>
      <c r="E1826" s="7" t="s">
        <v>227</v>
      </c>
    </row>
    <row r="1827" spans="1:13" x14ac:dyDescent="0.25">
      <c r="A1827" s="7"/>
      <c r="C1827" s="28"/>
      <c r="D1827" s="26"/>
      <c r="E1827" s="7"/>
      <c r="L1827" s="16"/>
    </row>
    <row r="1828" spans="1:13" x14ac:dyDescent="0.25">
      <c r="C1828" s="27" t="str" cm="1">
        <f t="array" ref="C1828">HexToBits(H1807)</f>
        <v>11011000111000110011011000100011</v>
      </c>
      <c r="D1828" s="26"/>
      <c r="E1828" t="str">
        <f>B1814</f>
        <v>01000010011100010110010001101111</v>
      </c>
    </row>
    <row r="1829" spans="1:13" x14ac:dyDescent="0.25">
      <c r="A1829" s="7" t="s">
        <v>374</v>
      </c>
      <c r="B1829" t="str">
        <f>_xlfn.BASE(MOD(_xlfn.DECIMAL(C1828,2) + _xlfn.DECIMAL(E1828,2), 4294967296), 2, 32)</f>
        <v>00011011010101001001101010010010</v>
      </c>
      <c r="D1829" s="16"/>
    </row>
    <row r="1830" spans="1:13" x14ac:dyDescent="0.25">
      <c r="A1830" s="7" t="s">
        <v>375</v>
      </c>
      <c r="B1830" t="str" cm="1">
        <f t="array" ref="B1830">BitsToHex(B1829)</f>
        <v>1B549A92</v>
      </c>
      <c r="C1830" s="28"/>
      <c r="D1830" s="26"/>
      <c r="E1830" s="7"/>
    </row>
    <row r="1831" spans="1:13" x14ac:dyDescent="0.25">
      <c r="A1831" s="7"/>
      <c r="C1831" s="28"/>
      <c r="D1831" s="26"/>
      <c r="E1831" s="7"/>
    </row>
    <row r="1832" spans="1:13" x14ac:dyDescent="0.25">
      <c r="A1832" s="7" t="s">
        <v>376</v>
      </c>
      <c r="C1832" s="28" t="s">
        <v>377</v>
      </c>
      <c r="D1832" s="26" t="s">
        <v>183</v>
      </c>
      <c r="E1832" s="7" t="s">
        <v>378</v>
      </c>
    </row>
    <row r="1833" spans="1:13" x14ac:dyDescent="0.25">
      <c r="A1833" s="7"/>
      <c r="C1833" s="27" t="str">
        <f>B1814</f>
        <v>01000010011100010110010001101111</v>
      </c>
      <c r="D1833" s="16"/>
      <c r="E1833" t="str">
        <f>B1823</f>
        <v>00011111001010100011011111010010</v>
      </c>
    </row>
    <row r="1834" spans="1:13" x14ac:dyDescent="0.25">
      <c r="A1834" s="7"/>
      <c r="C1834" s="28"/>
      <c r="D1834" s="26"/>
      <c r="E1834" s="7"/>
    </row>
    <row r="1835" spans="1:13" x14ac:dyDescent="0.25">
      <c r="A1835" s="7" t="s">
        <v>376</v>
      </c>
      <c r="B1835" t="str">
        <f>_xlfn.BASE(MOD(_xlfn.DECIMAL(C1833,2) + _xlfn.DECIMAL(E1833,2), 4294967296), 2, 32)</f>
        <v>01100001100110111001110001000001</v>
      </c>
      <c r="C1835" s="28"/>
      <c r="D1835" s="26"/>
      <c r="E1835" s="7"/>
    </row>
    <row r="1836" spans="1:13" x14ac:dyDescent="0.25">
      <c r="A1836" s="7" t="s">
        <v>375</v>
      </c>
      <c r="B1836" t="str" cm="1">
        <f t="array" ref="B1836">BitsToHex(B1835)</f>
        <v>619B9C41</v>
      </c>
    </row>
    <row r="1838" spans="1:13" x14ac:dyDescent="0.25">
      <c r="C1838" s="27" t="s">
        <v>225</v>
      </c>
      <c r="E1838" s="24" t="s">
        <v>8</v>
      </c>
      <c r="F1838" s="24" t="s">
        <v>29</v>
      </c>
      <c r="G1838" s="24" t="s">
        <v>30</v>
      </c>
      <c r="H1838" s="24" t="s">
        <v>31</v>
      </c>
      <c r="I1838" s="24" t="s">
        <v>221</v>
      </c>
      <c r="J1838" s="24" t="s">
        <v>222</v>
      </c>
      <c r="K1838" s="24" t="s">
        <v>34</v>
      </c>
      <c r="L1838" s="24" t="s">
        <v>223</v>
      </c>
    </row>
    <row r="1839" spans="1:13" x14ac:dyDescent="0.25">
      <c r="E1839" s="24" t="str">
        <f>B1836</f>
        <v>619B9C41</v>
      </c>
      <c r="F1839" s="24" t="str">
        <f>E1807</f>
        <v>5556DA5D</v>
      </c>
      <c r="G1839" s="24" t="str">
        <f>F1807</f>
        <v>AA5B0E7A</v>
      </c>
      <c r="H1839" s="24" t="str">
        <f>G1807</f>
        <v>42A1EF16</v>
      </c>
      <c r="I1839" s="24" t="str">
        <f>B1830</f>
        <v>1B549A92</v>
      </c>
      <c r="J1839" s="25" t="str">
        <f>I1807</f>
        <v>2897F0B6</v>
      </c>
      <c r="K1839" s="24" t="str">
        <f>J1807</f>
        <v>0C729CF5</v>
      </c>
      <c r="L1839" s="24" t="str">
        <f>K1807</f>
        <v>41BB6270</v>
      </c>
    </row>
    <row r="1840" spans="1:13" x14ac:dyDescent="0.25">
      <c r="A1840" s="2"/>
      <c r="B1840" s="2"/>
      <c r="C1840" s="30" t="s">
        <v>379</v>
      </c>
      <c r="D1840" s="2">
        <v>51</v>
      </c>
      <c r="E1840" s="2"/>
      <c r="F1840" s="2"/>
      <c r="G1840" s="2"/>
      <c r="H1840" s="2"/>
      <c r="I1840" s="2"/>
      <c r="J1840" s="2"/>
      <c r="K1840" s="2"/>
      <c r="L1840" s="2"/>
      <c r="M1840" s="2"/>
    </row>
    <row r="1841" spans="1:12" x14ac:dyDescent="0.25">
      <c r="D1841" t="s">
        <v>380</v>
      </c>
      <c r="E1841">
        <f>D1840+1</f>
        <v>52</v>
      </c>
    </row>
    <row r="1842" spans="1:12" x14ac:dyDescent="0.25">
      <c r="C1842" s="27" t="s">
        <v>224</v>
      </c>
      <c r="E1842" s="24" t="s">
        <v>8</v>
      </c>
      <c r="F1842" s="24" t="s">
        <v>29</v>
      </c>
      <c r="G1842" s="24" t="s">
        <v>30</v>
      </c>
      <c r="H1842" s="24" t="s">
        <v>31</v>
      </c>
      <c r="I1842" s="24" t="s">
        <v>221</v>
      </c>
      <c r="J1842" s="24" t="s">
        <v>222</v>
      </c>
      <c r="K1842" s="24" t="s">
        <v>34</v>
      </c>
      <c r="L1842" s="24" t="s">
        <v>223</v>
      </c>
    </row>
    <row r="1843" spans="1:12" x14ac:dyDescent="0.25">
      <c r="E1843" s="24" t="str">
        <f t="shared" ref="E1843:L1843" si="51">E1839</f>
        <v>619B9C41</v>
      </c>
      <c r="F1843" s="24" t="str">
        <f t="shared" si="51"/>
        <v>5556DA5D</v>
      </c>
      <c r="G1843" s="24" t="str">
        <f t="shared" si="51"/>
        <v>AA5B0E7A</v>
      </c>
      <c r="H1843" s="24" t="str">
        <f t="shared" si="51"/>
        <v>42A1EF16</v>
      </c>
      <c r="I1843" s="25" t="str">
        <f t="shared" si="51"/>
        <v>1B549A92</v>
      </c>
      <c r="J1843" s="24" t="str">
        <f t="shared" si="51"/>
        <v>2897F0B6</v>
      </c>
      <c r="K1843" s="24" t="str">
        <f t="shared" si="51"/>
        <v>0C729CF5</v>
      </c>
      <c r="L1843" s="24" t="str">
        <f t="shared" si="51"/>
        <v>41BB6270</v>
      </c>
    </row>
    <row r="1845" spans="1:12" x14ac:dyDescent="0.25">
      <c r="A1845" s="7" t="s">
        <v>363</v>
      </c>
      <c r="B1845" s="7"/>
      <c r="C1845" s="28" t="s">
        <v>223</v>
      </c>
      <c r="D1845" s="26" t="s">
        <v>183</v>
      </c>
      <c r="E1845" s="8" t="s">
        <v>365</v>
      </c>
      <c r="F1845" s="26" t="s">
        <v>183</v>
      </c>
      <c r="G1845" s="8" t="s">
        <v>366</v>
      </c>
      <c r="H1845" s="26" t="s">
        <v>183</v>
      </c>
      <c r="I1845" s="8" t="s">
        <v>367</v>
      </c>
      <c r="J1845" s="26" t="s">
        <v>183</v>
      </c>
      <c r="K1845" s="8" t="s">
        <v>368</v>
      </c>
    </row>
    <row r="1846" spans="1:12" x14ac:dyDescent="0.25">
      <c r="A1846" s="7"/>
    </row>
    <row r="1847" spans="1:12" x14ac:dyDescent="0.25">
      <c r="A1847" s="7"/>
      <c r="C1847" s="27" t="str">
        <f>L1843</f>
        <v>41BB6270</v>
      </c>
      <c r="E1847" t="str" cm="1">
        <f t="array" ref="E1847">BSIG1_H(I1843)</f>
        <v>B06371F4</v>
      </c>
      <c r="G1847" t="str" cm="1">
        <f t="array" ref="G1847">CH_H(I1843,J1843,K1843)</f>
        <v>0C3694F7</v>
      </c>
      <c r="I1847" t="str" cm="1">
        <f t="array" ref="I1847">INDEX(Folha3!$C$15:$J$22,IF(MOD(E1841,8)=0,0,1)+INT(E1841/8),1+MOD(E1841-1,8))</f>
        <v>34b0bcb5</v>
      </c>
      <c r="K1847" t="str" cm="1">
        <f t="array" ref="K1847">INDEX(Folha3!$C$38:$BN$38,1,E1841)</f>
        <v>71094EA0</v>
      </c>
    </row>
    <row r="1848" spans="1:12" x14ac:dyDescent="0.25">
      <c r="A1848" s="7" t="s">
        <v>370</v>
      </c>
      <c r="C1848" s="27" t="str" cm="1">
        <f t="array" ref="C1848">HexToBits(C1847)</f>
        <v>01000001101110110110001001110000</v>
      </c>
      <c r="E1848" t="str" cm="1">
        <f t="array" ref="E1848">HexToBits(E1847)</f>
        <v>10110000011000110111000111110100</v>
      </c>
      <c r="G1848" t="str" cm="1">
        <f t="array" ref="G1848">HexToBits(G1847)</f>
        <v>00001100001101101001010011110111</v>
      </c>
      <c r="I1848" t="str" cm="1">
        <f t="array" ref="I1848">HexToBits(I1847)</f>
        <v>00110100101100001011110010110101</v>
      </c>
      <c r="K1848" t="str" cm="1">
        <f t="array" ref="K1848">HexToBits(K1847)</f>
        <v>01110001000010010100111010100000</v>
      </c>
    </row>
    <row r="1849" spans="1:12" x14ac:dyDescent="0.25">
      <c r="A1849" s="7"/>
    </row>
    <row r="1850" spans="1:12" x14ac:dyDescent="0.25">
      <c r="A1850" s="7" t="s">
        <v>364</v>
      </c>
      <c r="B1850" t="str">
        <f>_xlfn.BASE(
  (_xlfn.DECIMAL(C1848,2)+_xlfn.DECIMAL(E1848,2)+_xlfn.DECIMAL(G1848,2)+_xlfn.DECIMAL(I1848,2)+_xlfn.DECIMAL(K1848,2))
  - (INT((_xlfn.DECIMAL(C1848,2)+_xlfn.DECIMAL(E1848,2)+_xlfn.DECIMAL(G1848,2)+_xlfn.DECIMAL(I1848,2)+_xlfn.DECIMAL(K1848,2)) / 4294967296) * 4294967296),
  2,
  32
)</f>
        <v>10100100000011110111010010110000</v>
      </c>
    </row>
    <row r="1851" spans="1:12" x14ac:dyDescent="0.25">
      <c r="A1851" s="7" t="s">
        <v>369</v>
      </c>
      <c r="B1851" t="str" cm="1">
        <f t="array" ref="B1851">BitsToHex(B1850)</f>
        <v>A40F74B0</v>
      </c>
    </row>
    <row r="1854" spans="1:12" x14ac:dyDescent="0.25">
      <c r="A1854" s="7" t="s">
        <v>373</v>
      </c>
      <c r="B1854" s="7"/>
      <c r="C1854" s="29" t="s">
        <v>371</v>
      </c>
      <c r="D1854" s="26" t="s">
        <v>183</v>
      </c>
      <c r="E1854" s="8" t="s">
        <v>372</v>
      </c>
      <c r="J1854" s="32"/>
    </row>
    <row r="1855" spans="1:12" x14ac:dyDescent="0.25">
      <c r="A1855" s="7"/>
    </row>
    <row r="1856" spans="1:12" x14ac:dyDescent="0.25">
      <c r="A1856" s="7"/>
      <c r="C1856" s="27" t="str" cm="1">
        <f t="array" ref="C1856">BSIG0_H(E1843)</f>
        <v>D41CEE4A</v>
      </c>
      <c r="E1856" t="str" cm="1">
        <f t="array" ref="E1856">MAJ_H(E1843,F1843,G1843)</f>
        <v>615B9E59</v>
      </c>
    </row>
    <row r="1857" spans="1:12" x14ac:dyDescent="0.25">
      <c r="A1857" s="7" t="s">
        <v>370</v>
      </c>
      <c r="C1857" s="27" t="str" cm="1">
        <f t="array" ref="C1857">HexToBits(C1856)</f>
        <v>11010100000111001110111001001010</v>
      </c>
      <c r="E1857" t="str" cm="1">
        <f t="array" ref="E1857">HexToBits(E1856)</f>
        <v>01100001010110111001111001011001</v>
      </c>
    </row>
    <row r="1858" spans="1:12" x14ac:dyDescent="0.25">
      <c r="A1858" s="7"/>
    </row>
    <row r="1859" spans="1:12" x14ac:dyDescent="0.25">
      <c r="A1859" s="7" t="s">
        <v>373</v>
      </c>
      <c r="B1859" t="str">
        <f>_xlfn.BASE(MOD(_xlfn.DECIMAL(C1857,2) + _xlfn.DECIMAL(E1857,2), 4294967296), 2, 32)</f>
        <v>00110101011110001000110010100011</v>
      </c>
    </row>
    <row r="1860" spans="1:12" x14ac:dyDescent="0.25">
      <c r="A1860" s="7" t="s">
        <v>369</v>
      </c>
      <c r="B1860" t="str" cm="1">
        <f t="array" ref="B1860">BitsToHex(B1859)</f>
        <v>35788CA3</v>
      </c>
    </row>
    <row r="1861" spans="1:12" x14ac:dyDescent="0.25">
      <c r="A1861" s="7"/>
    </row>
    <row r="1862" spans="1:12" x14ac:dyDescent="0.25">
      <c r="A1862" s="7" t="s">
        <v>374</v>
      </c>
      <c r="C1862" s="28" t="s">
        <v>31</v>
      </c>
      <c r="D1862" s="26" t="s">
        <v>183</v>
      </c>
      <c r="E1862" s="7" t="s">
        <v>227</v>
      </c>
    </row>
    <row r="1863" spans="1:12" x14ac:dyDescent="0.25">
      <c r="A1863" s="7"/>
      <c r="C1863" s="28"/>
      <c r="D1863" s="26"/>
      <c r="E1863" s="7"/>
      <c r="L1863" s="16"/>
    </row>
    <row r="1864" spans="1:12" x14ac:dyDescent="0.25">
      <c r="C1864" s="27" t="str" cm="1">
        <f t="array" ref="C1864">HexToBits(H1843)</f>
        <v>01000010101000011110111100010110</v>
      </c>
      <c r="D1864" s="26"/>
      <c r="E1864" t="str">
        <f>B1850</f>
        <v>10100100000011110111010010110000</v>
      </c>
    </row>
    <row r="1865" spans="1:12" x14ac:dyDescent="0.25">
      <c r="A1865" s="7" t="s">
        <v>374</v>
      </c>
      <c r="B1865" t="str">
        <f>_xlfn.BASE(MOD(_xlfn.DECIMAL(C1864,2) + _xlfn.DECIMAL(E1864,2), 4294967296), 2, 32)</f>
        <v>11100110101100010110001111000110</v>
      </c>
      <c r="D1865" s="16"/>
    </row>
    <row r="1866" spans="1:12" x14ac:dyDescent="0.25">
      <c r="A1866" s="7" t="s">
        <v>375</v>
      </c>
      <c r="B1866" t="str" cm="1">
        <f t="array" ref="B1866">BitsToHex(B1865)</f>
        <v>E6B163C6</v>
      </c>
      <c r="C1866" s="28"/>
      <c r="D1866" s="26"/>
      <c r="E1866" s="7"/>
    </row>
    <row r="1867" spans="1:12" x14ac:dyDescent="0.25">
      <c r="A1867" s="7"/>
      <c r="C1867" s="28"/>
      <c r="D1867" s="26"/>
      <c r="E1867" s="7"/>
    </row>
    <row r="1868" spans="1:12" x14ac:dyDescent="0.25">
      <c r="A1868" s="7" t="s">
        <v>376</v>
      </c>
      <c r="C1868" s="28" t="s">
        <v>377</v>
      </c>
      <c r="D1868" s="26" t="s">
        <v>183</v>
      </c>
      <c r="E1868" s="7" t="s">
        <v>378</v>
      </c>
    </row>
    <row r="1869" spans="1:12" x14ac:dyDescent="0.25">
      <c r="A1869" s="7"/>
      <c r="C1869" s="27" t="str">
        <f>B1850</f>
        <v>10100100000011110111010010110000</v>
      </c>
      <c r="D1869" s="16"/>
      <c r="E1869" t="str">
        <f>B1859</f>
        <v>00110101011110001000110010100011</v>
      </c>
    </row>
    <row r="1870" spans="1:12" x14ac:dyDescent="0.25">
      <c r="A1870" s="7"/>
      <c r="C1870" s="28"/>
      <c r="D1870" s="26"/>
      <c r="E1870" s="7"/>
    </row>
    <row r="1871" spans="1:12" x14ac:dyDescent="0.25">
      <c r="A1871" s="7" t="s">
        <v>376</v>
      </c>
      <c r="B1871" t="str">
        <f>_xlfn.BASE(MOD(_xlfn.DECIMAL(C1869,2) + _xlfn.DECIMAL(E1869,2), 4294967296), 2, 32)</f>
        <v>11011001100010000000000101010011</v>
      </c>
      <c r="C1871" s="28"/>
      <c r="D1871" s="26"/>
      <c r="E1871" s="7"/>
    </row>
    <row r="1872" spans="1:12" x14ac:dyDescent="0.25">
      <c r="A1872" s="7" t="s">
        <v>375</v>
      </c>
      <c r="B1872" t="str" cm="1">
        <f t="array" ref="B1872">BitsToHex(B1871)</f>
        <v>D9880153</v>
      </c>
    </row>
    <row r="1874" spans="1:13" x14ac:dyDescent="0.25">
      <c r="C1874" s="27" t="s">
        <v>225</v>
      </c>
      <c r="E1874" s="24" t="s">
        <v>8</v>
      </c>
      <c r="F1874" s="24" t="s">
        <v>29</v>
      </c>
      <c r="G1874" s="24" t="s">
        <v>30</v>
      </c>
      <c r="H1874" s="24" t="s">
        <v>31</v>
      </c>
      <c r="I1874" s="24" t="s">
        <v>221</v>
      </c>
      <c r="J1874" s="24" t="s">
        <v>222</v>
      </c>
      <c r="K1874" s="24" t="s">
        <v>34</v>
      </c>
      <c r="L1874" s="24" t="s">
        <v>223</v>
      </c>
    </row>
    <row r="1875" spans="1:13" x14ac:dyDescent="0.25">
      <c r="E1875" s="24" t="str">
        <f>B1872</f>
        <v>D9880153</v>
      </c>
      <c r="F1875" s="24" t="str">
        <f>E1843</f>
        <v>619B9C41</v>
      </c>
      <c r="G1875" s="24" t="str">
        <f>F1843</f>
        <v>5556DA5D</v>
      </c>
      <c r="H1875" s="24" t="str">
        <f>G1843</f>
        <v>AA5B0E7A</v>
      </c>
      <c r="I1875" s="24" t="str">
        <f>B1866</f>
        <v>E6B163C6</v>
      </c>
      <c r="J1875" s="25" t="str">
        <f>I1843</f>
        <v>1B549A92</v>
      </c>
      <c r="K1875" s="24" t="str">
        <f>J1843</f>
        <v>2897F0B6</v>
      </c>
      <c r="L1875" s="24" t="str">
        <f>K1843</f>
        <v>0C729CF5</v>
      </c>
    </row>
    <row r="1876" spans="1:13" x14ac:dyDescent="0.25">
      <c r="A1876" s="2"/>
      <c r="B1876" s="2"/>
      <c r="C1876" s="30" t="s">
        <v>379</v>
      </c>
      <c r="D1876" s="2">
        <v>52</v>
      </c>
      <c r="E1876" s="2"/>
      <c r="F1876" s="2"/>
      <c r="G1876" s="2"/>
      <c r="H1876" s="2"/>
      <c r="I1876" s="2"/>
      <c r="J1876" s="2"/>
      <c r="K1876" s="2"/>
      <c r="L1876" s="2"/>
      <c r="M1876" s="2"/>
    </row>
    <row r="1877" spans="1:13" x14ac:dyDescent="0.25">
      <c r="D1877" t="s">
        <v>380</v>
      </c>
      <c r="E1877">
        <f>D1876+1</f>
        <v>53</v>
      </c>
    </row>
    <row r="1878" spans="1:13" x14ac:dyDescent="0.25">
      <c r="C1878" s="27" t="s">
        <v>224</v>
      </c>
      <c r="E1878" s="24" t="s">
        <v>8</v>
      </c>
      <c r="F1878" s="24" t="s">
        <v>29</v>
      </c>
      <c r="G1878" s="24" t="s">
        <v>30</v>
      </c>
      <c r="H1878" s="24" t="s">
        <v>31</v>
      </c>
      <c r="I1878" s="24" t="s">
        <v>221</v>
      </c>
      <c r="J1878" s="24" t="s">
        <v>222</v>
      </c>
      <c r="K1878" s="24" t="s">
        <v>34</v>
      </c>
      <c r="L1878" s="24" t="s">
        <v>223</v>
      </c>
    </row>
    <row r="1879" spans="1:13" x14ac:dyDescent="0.25">
      <c r="E1879" s="24" t="str">
        <f t="shared" ref="E1879:L1879" si="52">E1875</f>
        <v>D9880153</v>
      </c>
      <c r="F1879" s="24" t="str">
        <f t="shared" si="52"/>
        <v>619B9C41</v>
      </c>
      <c r="G1879" s="24" t="str">
        <f t="shared" si="52"/>
        <v>5556DA5D</v>
      </c>
      <c r="H1879" s="24" t="str">
        <f t="shared" si="52"/>
        <v>AA5B0E7A</v>
      </c>
      <c r="I1879" s="25" t="str">
        <f t="shared" si="52"/>
        <v>E6B163C6</v>
      </c>
      <c r="J1879" s="24" t="str">
        <f t="shared" si="52"/>
        <v>1B549A92</v>
      </c>
      <c r="K1879" s="24" t="str">
        <f t="shared" si="52"/>
        <v>2897F0B6</v>
      </c>
      <c r="L1879" s="24" t="str">
        <f t="shared" si="52"/>
        <v>0C729CF5</v>
      </c>
    </row>
    <row r="1881" spans="1:13" x14ac:dyDescent="0.25">
      <c r="A1881" s="7" t="s">
        <v>363</v>
      </c>
      <c r="B1881" s="7"/>
      <c r="C1881" s="28" t="s">
        <v>223</v>
      </c>
      <c r="D1881" s="26" t="s">
        <v>183</v>
      </c>
      <c r="E1881" s="8" t="s">
        <v>365</v>
      </c>
      <c r="F1881" s="26" t="s">
        <v>183</v>
      </c>
      <c r="G1881" s="8" t="s">
        <v>366</v>
      </c>
      <c r="H1881" s="26" t="s">
        <v>183</v>
      </c>
      <c r="I1881" s="8" t="s">
        <v>367</v>
      </c>
      <c r="J1881" s="26" t="s">
        <v>183</v>
      </c>
      <c r="K1881" s="8" t="s">
        <v>368</v>
      </c>
    </row>
    <row r="1882" spans="1:13" x14ac:dyDescent="0.25">
      <c r="A1882" s="7"/>
    </row>
    <row r="1883" spans="1:13" x14ac:dyDescent="0.25">
      <c r="A1883" s="7"/>
      <c r="C1883" s="27" t="str">
        <f>L1879</f>
        <v>0C729CF5</v>
      </c>
      <c r="E1883" t="str" cm="1">
        <f t="array" ref="E1883">BSIG1_H(I1879)</f>
        <v>3BF7F0D0</v>
      </c>
      <c r="G1883" t="str" cm="1">
        <f t="array" ref="G1883">CH_H(I1879,J1879,K1879)</f>
        <v>0A1692B2</v>
      </c>
      <c r="I1883" t="str" cm="1">
        <f t="array" ref="I1883">INDEX(Folha3!$C$15:$J$22,IF(MOD(E1877,8)=0,0,1)+INT(E1877/8),1+MOD(E1877-1,8))</f>
        <v>391c0cb3</v>
      </c>
      <c r="K1883" t="str" cm="1">
        <f t="array" ref="K1883">INDEX(Folha3!$C$38:$BN$38,1,E1877)</f>
        <v>1DA34582</v>
      </c>
    </row>
    <row r="1884" spans="1:13" x14ac:dyDescent="0.25">
      <c r="A1884" s="7" t="s">
        <v>370</v>
      </c>
      <c r="C1884" s="27" t="str" cm="1">
        <f t="array" ref="C1884">HexToBits(C1883)</f>
        <v>00001100011100101001110011110101</v>
      </c>
      <c r="E1884" t="str" cm="1">
        <f t="array" ref="E1884">HexToBits(E1883)</f>
        <v>00111011111101111111000011010000</v>
      </c>
      <c r="G1884" t="str" cm="1">
        <f t="array" ref="G1884">HexToBits(G1883)</f>
        <v>00001010000101101001001010110010</v>
      </c>
      <c r="I1884" t="str" cm="1">
        <f t="array" ref="I1884">HexToBits(I1883)</f>
        <v>00111001000111000000110010110011</v>
      </c>
      <c r="K1884" t="str" cm="1">
        <f t="array" ref="K1884">HexToBits(K1883)</f>
        <v>00011101101000110100010110000010</v>
      </c>
    </row>
    <row r="1885" spans="1:13" x14ac:dyDescent="0.25">
      <c r="A1885" s="7"/>
    </row>
    <row r="1886" spans="1:13" x14ac:dyDescent="0.25">
      <c r="A1886" s="7" t="s">
        <v>364</v>
      </c>
      <c r="B1886" t="str">
        <f>_xlfn.BASE(
  (_xlfn.DECIMAL(C1884,2)+_xlfn.DECIMAL(E1884,2)+_xlfn.DECIMAL(G1884,2)+_xlfn.DECIMAL(I1884,2)+_xlfn.DECIMAL(K1884,2))
  - (INT((_xlfn.DECIMAL(C1884,2)+_xlfn.DECIMAL(E1884,2)+_xlfn.DECIMAL(G1884,2)+_xlfn.DECIMAL(I1884,2)+_xlfn.DECIMAL(K1884,2)) / 4294967296) * 4294967296),
  2,
  32
)</f>
        <v>10101001010000000111001010101100</v>
      </c>
    </row>
    <row r="1887" spans="1:13" x14ac:dyDescent="0.25">
      <c r="A1887" s="7" t="s">
        <v>369</v>
      </c>
      <c r="B1887" t="str" cm="1">
        <f t="array" ref="B1887">BitsToHex(B1886)</f>
        <v>A94072AC</v>
      </c>
    </row>
    <row r="1890" spans="1:12" x14ac:dyDescent="0.25">
      <c r="A1890" s="7" t="s">
        <v>373</v>
      </c>
      <c r="B1890" s="7"/>
      <c r="C1890" s="29" t="s">
        <v>371</v>
      </c>
      <c r="D1890" s="26" t="s">
        <v>183</v>
      </c>
      <c r="E1890" s="8" t="s">
        <v>372</v>
      </c>
      <c r="J1890" s="32"/>
    </row>
    <row r="1891" spans="1:12" x14ac:dyDescent="0.25">
      <c r="A1891" s="7"/>
    </row>
    <row r="1892" spans="1:12" x14ac:dyDescent="0.25">
      <c r="A1892" s="7"/>
      <c r="C1892" s="27" t="str" cm="1">
        <f t="array" ref="C1892">BSIG0_H(E1879)</f>
        <v>DCF98372</v>
      </c>
      <c r="E1892" t="str" cm="1">
        <f t="array" ref="E1892">MAJ_H(E1879,F1879,G1879)</f>
        <v>519A9851</v>
      </c>
    </row>
    <row r="1893" spans="1:12" x14ac:dyDescent="0.25">
      <c r="A1893" s="7" t="s">
        <v>370</v>
      </c>
      <c r="C1893" s="27" t="str" cm="1">
        <f t="array" ref="C1893">HexToBits(C1892)</f>
        <v>11011100111110011000001101110010</v>
      </c>
      <c r="E1893" t="str" cm="1">
        <f t="array" ref="E1893">HexToBits(E1892)</f>
        <v>01010001100110101001100001010001</v>
      </c>
    </row>
    <row r="1894" spans="1:12" x14ac:dyDescent="0.25">
      <c r="A1894" s="7"/>
    </row>
    <row r="1895" spans="1:12" x14ac:dyDescent="0.25">
      <c r="A1895" s="7" t="s">
        <v>373</v>
      </c>
      <c r="B1895" t="str">
        <f>_xlfn.BASE(MOD(_xlfn.DECIMAL(C1893,2) + _xlfn.DECIMAL(E1893,2), 4294967296), 2, 32)</f>
        <v>00101110100101000001101111000011</v>
      </c>
    </row>
    <row r="1896" spans="1:12" x14ac:dyDescent="0.25">
      <c r="A1896" s="7" t="s">
        <v>369</v>
      </c>
      <c r="B1896" t="str" cm="1">
        <f t="array" ref="B1896">BitsToHex(B1895)</f>
        <v>2E941BC3</v>
      </c>
    </row>
    <row r="1897" spans="1:12" x14ac:dyDescent="0.25">
      <c r="A1897" s="7"/>
    </row>
    <row r="1898" spans="1:12" x14ac:dyDescent="0.25">
      <c r="A1898" s="7" t="s">
        <v>374</v>
      </c>
      <c r="C1898" s="28" t="s">
        <v>31</v>
      </c>
      <c r="D1898" s="26" t="s">
        <v>183</v>
      </c>
      <c r="E1898" s="7" t="s">
        <v>227</v>
      </c>
    </row>
    <row r="1899" spans="1:12" x14ac:dyDescent="0.25">
      <c r="A1899" s="7"/>
      <c r="C1899" s="28"/>
      <c r="D1899" s="26"/>
      <c r="E1899" s="7"/>
      <c r="L1899" s="16"/>
    </row>
    <row r="1900" spans="1:12" x14ac:dyDescent="0.25">
      <c r="C1900" s="27" t="str" cm="1">
        <f t="array" ref="C1900">HexToBits(H1879)</f>
        <v>10101010010110110000111001111010</v>
      </c>
      <c r="D1900" s="26"/>
      <c r="E1900" t="str">
        <f>B1886</f>
        <v>10101001010000000111001010101100</v>
      </c>
    </row>
    <row r="1901" spans="1:12" x14ac:dyDescent="0.25">
      <c r="A1901" s="7" t="s">
        <v>374</v>
      </c>
      <c r="B1901" t="str">
        <f>_xlfn.BASE(MOD(_xlfn.DECIMAL(C1900,2) + _xlfn.DECIMAL(E1900,2), 4294967296), 2, 32)</f>
        <v>01010011100110111000000100100110</v>
      </c>
      <c r="D1901" s="16"/>
    </row>
    <row r="1902" spans="1:12" x14ac:dyDescent="0.25">
      <c r="A1902" s="7" t="s">
        <v>375</v>
      </c>
      <c r="B1902" t="str" cm="1">
        <f t="array" ref="B1902">BitsToHex(B1901)</f>
        <v>539B8126</v>
      </c>
      <c r="C1902" s="28"/>
      <c r="D1902" s="26"/>
      <c r="E1902" s="7"/>
    </row>
    <row r="1903" spans="1:12" x14ac:dyDescent="0.25">
      <c r="A1903" s="7"/>
      <c r="C1903" s="28"/>
      <c r="D1903" s="26"/>
      <c r="E1903" s="7"/>
    </row>
    <row r="1904" spans="1:12" x14ac:dyDescent="0.25">
      <c r="A1904" s="7" t="s">
        <v>376</v>
      </c>
      <c r="C1904" s="28" t="s">
        <v>377</v>
      </c>
      <c r="D1904" s="26" t="s">
        <v>183</v>
      </c>
      <c r="E1904" s="7" t="s">
        <v>378</v>
      </c>
    </row>
    <row r="1905" spans="1:13" x14ac:dyDescent="0.25">
      <c r="A1905" s="7"/>
      <c r="C1905" s="27" t="str">
        <f>B1886</f>
        <v>10101001010000000111001010101100</v>
      </c>
      <c r="D1905" s="16"/>
      <c r="E1905" t="str">
        <f>B1895</f>
        <v>00101110100101000001101111000011</v>
      </c>
    </row>
    <row r="1906" spans="1:13" x14ac:dyDescent="0.25">
      <c r="A1906" s="7"/>
      <c r="C1906" s="28"/>
      <c r="D1906" s="26"/>
      <c r="E1906" s="7"/>
    </row>
    <row r="1907" spans="1:13" x14ac:dyDescent="0.25">
      <c r="A1907" s="7" t="s">
        <v>376</v>
      </c>
      <c r="B1907" t="str">
        <f>_xlfn.BASE(MOD(_xlfn.DECIMAL(C1905,2) + _xlfn.DECIMAL(E1905,2), 4294967296), 2, 32)</f>
        <v>11010111110101001000111001101111</v>
      </c>
      <c r="C1907" s="28"/>
      <c r="D1907" s="26"/>
      <c r="E1907" s="7"/>
    </row>
    <row r="1908" spans="1:13" x14ac:dyDescent="0.25">
      <c r="A1908" s="7" t="s">
        <v>375</v>
      </c>
      <c r="B1908" t="str" cm="1">
        <f t="array" ref="B1908">BitsToHex(B1907)</f>
        <v>D7D48E6F</v>
      </c>
    </row>
    <row r="1910" spans="1:13" x14ac:dyDescent="0.25">
      <c r="C1910" s="27" t="s">
        <v>225</v>
      </c>
      <c r="E1910" s="24" t="s">
        <v>8</v>
      </c>
      <c r="F1910" s="24" t="s">
        <v>29</v>
      </c>
      <c r="G1910" s="24" t="s">
        <v>30</v>
      </c>
      <c r="H1910" s="24" t="s">
        <v>31</v>
      </c>
      <c r="I1910" s="24" t="s">
        <v>221</v>
      </c>
      <c r="J1910" s="24" t="s">
        <v>222</v>
      </c>
      <c r="K1910" s="24" t="s">
        <v>34</v>
      </c>
      <c r="L1910" s="24" t="s">
        <v>223</v>
      </c>
    </row>
    <row r="1911" spans="1:13" x14ac:dyDescent="0.25">
      <c r="E1911" s="24" t="str">
        <f>B1908</f>
        <v>D7D48E6F</v>
      </c>
      <c r="F1911" s="24" t="str">
        <f>E1879</f>
        <v>D9880153</v>
      </c>
      <c r="G1911" s="24" t="str">
        <f>F1879</f>
        <v>619B9C41</v>
      </c>
      <c r="H1911" s="24" t="str">
        <f>G1879</f>
        <v>5556DA5D</v>
      </c>
      <c r="I1911" s="24" t="str">
        <f>B1902</f>
        <v>539B8126</v>
      </c>
      <c r="J1911" s="25" t="str">
        <f>I1879</f>
        <v>E6B163C6</v>
      </c>
      <c r="K1911" s="24" t="str">
        <f>J1879</f>
        <v>1B549A92</v>
      </c>
      <c r="L1911" s="24" t="str">
        <f>K1879</f>
        <v>2897F0B6</v>
      </c>
    </row>
    <row r="1912" spans="1:13" x14ac:dyDescent="0.25">
      <c r="A1912" s="2"/>
      <c r="B1912" s="2"/>
      <c r="C1912" s="30" t="s">
        <v>379</v>
      </c>
      <c r="D1912" s="2">
        <v>53</v>
      </c>
      <c r="E1912" s="2"/>
      <c r="F1912" s="2"/>
      <c r="G1912" s="2"/>
      <c r="H1912" s="2"/>
      <c r="I1912" s="2"/>
      <c r="J1912" s="2"/>
      <c r="K1912" s="2"/>
      <c r="L1912" s="2"/>
      <c r="M1912" s="2"/>
    </row>
    <row r="1913" spans="1:13" x14ac:dyDescent="0.25">
      <c r="D1913" t="s">
        <v>380</v>
      </c>
      <c r="E1913">
        <f>D1912+1</f>
        <v>54</v>
      </c>
    </row>
    <row r="1914" spans="1:13" x14ac:dyDescent="0.25">
      <c r="C1914" s="27" t="s">
        <v>224</v>
      </c>
      <c r="E1914" s="24" t="s">
        <v>8</v>
      </c>
      <c r="F1914" s="24" t="s">
        <v>29</v>
      </c>
      <c r="G1914" s="24" t="s">
        <v>30</v>
      </c>
      <c r="H1914" s="24" t="s">
        <v>31</v>
      </c>
      <c r="I1914" s="24" t="s">
        <v>221</v>
      </c>
      <c r="J1914" s="24" t="s">
        <v>222</v>
      </c>
      <c r="K1914" s="24" t="s">
        <v>34</v>
      </c>
      <c r="L1914" s="24" t="s">
        <v>223</v>
      </c>
    </row>
    <row r="1915" spans="1:13" x14ac:dyDescent="0.25">
      <c r="E1915" s="24" t="str">
        <f t="shared" ref="E1915:L1915" si="53">E1911</f>
        <v>D7D48E6F</v>
      </c>
      <c r="F1915" s="24" t="str">
        <f t="shared" si="53"/>
        <v>D9880153</v>
      </c>
      <c r="G1915" s="24" t="str">
        <f t="shared" si="53"/>
        <v>619B9C41</v>
      </c>
      <c r="H1915" s="24" t="str">
        <f t="shared" si="53"/>
        <v>5556DA5D</v>
      </c>
      <c r="I1915" s="25" t="str">
        <f t="shared" si="53"/>
        <v>539B8126</v>
      </c>
      <c r="J1915" s="24" t="str">
        <f t="shared" si="53"/>
        <v>E6B163C6</v>
      </c>
      <c r="K1915" s="24" t="str">
        <f t="shared" si="53"/>
        <v>1B549A92</v>
      </c>
      <c r="L1915" s="24" t="str">
        <f t="shared" si="53"/>
        <v>2897F0B6</v>
      </c>
    </row>
    <row r="1917" spans="1:13" x14ac:dyDescent="0.25">
      <c r="A1917" s="7" t="s">
        <v>363</v>
      </c>
      <c r="B1917" s="7"/>
      <c r="C1917" s="28" t="s">
        <v>223</v>
      </c>
      <c r="D1917" s="26" t="s">
        <v>183</v>
      </c>
      <c r="E1917" s="8" t="s">
        <v>365</v>
      </c>
      <c r="F1917" s="26" t="s">
        <v>183</v>
      </c>
      <c r="G1917" s="8" t="s">
        <v>366</v>
      </c>
      <c r="H1917" s="26" t="s">
        <v>183</v>
      </c>
      <c r="I1917" s="8" t="s">
        <v>367</v>
      </c>
      <c r="J1917" s="26" t="s">
        <v>183</v>
      </c>
      <c r="K1917" s="8" t="s">
        <v>368</v>
      </c>
    </row>
    <row r="1918" spans="1:13" x14ac:dyDescent="0.25">
      <c r="A1918" s="7"/>
    </row>
    <row r="1919" spans="1:13" x14ac:dyDescent="0.25">
      <c r="A1919" s="7"/>
      <c r="C1919" s="27" t="str">
        <f>L1915</f>
        <v>2897F0B6</v>
      </c>
      <c r="E1919" t="str" cm="1">
        <f t="array" ref="E1919">BSIG1_H(I1915)</f>
        <v>70448E5D</v>
      </c>
      <c r="G1919" t="str" cm="1">
        <f t="array" ref="G1919">CH_H(I1915,J1915,K1915)</f>
        <v>4AD51B96</v>
      </c>
      <c r="I1919" t="str" cm="1">
        <f t="array" ref="I1919">INDEX(Folha3!$C$15:$J$22,IF(MOD(E1913,8)=0,0,1)+INT(E1913/8),1+MOD(E1913-1,8))</f>
        <v>4ed8aa4a</v>
      </c>
      <c r="K1919" t="str" cm="1">
        <f t="array" ref="K1919">INDEX(Folha3!$C$38:$BN$38,1,E1913)</f>
        <v>3DA56616</v>
      </c>
    </row>
    <row r="1920" spans="1:13" x14ac:dyDescent="0.25">
      <c r="A1920" s="7" t="s">
        <v>370</v>
      </c>
      <c r="C1920" s="27" t="str" cm="1">
        <f t="array" ref="C1920">HexToBits(C1919)</f>
        <v>00101000100101111111000010110110</v>
      </c>
      <c r="E1920" t="str" cm="1">
        <f t="array" ref="E1920">HexToBits(E1919)</f>
        <v>01110000010001001000111001011101</v>
      </c>
      <c r="G1920" t="str" cm="1">
        <f t="array" ref="G1920">HexToBits(G1919)</f>
        <v>01001010110101010001101110010110</v>
      </c>
      <c r="I1920" t="str" cm="1">
        <f t="array" ref="I1920">HexToBits(I1919)</f>
        <v>01001110110110001010101001001010</v>
      </c>
      <c r="K1920" t="str" cm="1">
        <f t="array" ref="K1920">HexToBits(K1919)</f>
        <v>00111101101001010110011000010110</v>
      </c>
    </row>
    <row r="1921" spans="1:12" x14ac:dyDescent="0.25">
      <c r="A1921" s="7"/>
    </row>
    <row r="1922" spans="1:12" x14ac:dyDescent="0.25">
      <c r="A1922" s="7" t="s">
        <v>364</v>
      </c>
      <c r="B1922" t="str">
        <f>_xlfn.BASE(
  (_xlfn.DECIMAL(C1920,2)+_xlfn.DECIMAL(E1920,2)+_xlfn.DECIMAL(G1920,2)+_xlfn.DECIMAL(I1920,2)+_xlfn.DECIMAL(K1920,2))
  - (INT((_xlfn.DECIMAL(C1920,2)+_xlfn.DECIMAL(E1920,2)+_xlfn.DECIMAL(G1920,2)+_xlfn.DECIMAL(I1920,2)+_xlfn.DECIMAL(K1920,2)) / 4294967296) * 4294967296),
  2,
  32
)</f>
        <v>01110000001011111010101100001001</v>
      </c>
    </row>
    <row r="1923" spans="1:12" x14ac:dyDescent="0.25">
      <c r="A1923" s="7" t="s">
        <v>369</v>
      </c>
      <c r="B1923" t="str" cm="1">
        <f t="array" ref="B1923">BitsToHex(B1922)</f>
        <v>702FAB09</v>
      </c>
    </row>
    <row r="1926" spans="1:12" x14ac:dyDescent="0.25">
      <c r="A1926" s="7" t="s">
        <v>373</v>
      </c>
      <c r="B1926" s="7"/>
      <c r="C1926" s="29" t="s">
        <v>371</v>
      </c>
      <c r="D1926" s="26" t="s">
        <v>183</v>
      </c>
      <c r="E1926" s="8" t="s">
        <v>372</v>
      </c>
      <c r="J1926" s="32"/>
    </row>
    <row r="1927" spans="1:12" x14ac:dyDescent="0.25">
      <c r="A1927" s="7"/>
    </row>
    <row r="1928" spans="1:12" x14ac:dyDescent="0.25">
      <c r="A1928" s="7"/>
      <c r="C1928" s="27" t="str" cm="1">
        <f t="array" ref="C1928">BSIG0_H(E1915)</f>
        <v>D4B22260</v>
      </c>
      <c r="E1928" t="str" cm="1">
        <f t="array" ref="E1928">MAJ_H(E1915,F1915,G1915)</f>
        <v>D1988C43</v>
      </c>
    </row>
    <row r="1929" spans="1:12" x14ac:dyDescent="0.25">
      <c r="A1929" s="7" t="s">
        <v>370</v>
      </c>
      <c r="C1929" s="27" t="str" cm="1">
        <f t="array" ref="C1929">HexToBits(C1928)</f>
        <v>11010100101100100010001001100000</v>
      </c>
      <c r="E1929" t="str" cm="1">
        <f t="array" ref="E1929">HexToBits(E1928)</f>
        <v>11010001100110001000110001000011</v>
      </c>
    </row>
    <row r="1930" spans="1:12" x14ac:dyDescent="0.25">
      <c r="A1930" s="7"/>
    </row>
    <row r="1931" spans="1:12" x14ac:dyDescent="0.25">
      <c r="A1931" s="7" t="s">
        <v>373</v>
      </c>
      <c r="B1931" t="str">
        <f>_xlfn.BASE(MOD(_xlfn.DECIMAL(C1929,2) + _xlfn.DECIMAL(E1929,2), 4294967296), 2, 32)</f>
        <v>10100110010010101010111010100011</v>
      </c>
    </row>
    <row r="1932" spans="1:12" x14ac:dyDescent="0.25">
      <c r="A1932" s="7" t="s">
        <v>369</v>
      </c>
      <c r="B1932" t="str" cm="1">
        <f t="array" ref="B1932">BitsToHex(B1931)</f>
        <v>A64AAEA3</v>
      </c>
    </row>
    <row r="1933" spans="1:12" x14ac:dyDescent="0.25">
      <c r="A1933" s="7"/>
    </row>
    <row r="1934" spans="1:12" x14ac:dyDescent="0.25">
      <c r="A1934" s="7" t="s">
        <v>374</v>
      </c>
      <c r="C1934" s="28" t="s">
        <v>31</v>
      </c>
      <c r="D1934" s="26" t="s">
        <v>183</v>
      </c>
      <c r="E1934" s="7" t="s">
        <v>227</v>
      </c>
    </row>
    <row r="1935" spans="1:12" x14ac:dyDescent="0.25">
      <c r="A1935" s="7"/>
      <c r="C1935" s="28"/>
      <c r="D1935" s="26"/>
      <c r="E1935" s="7"/>
      <c r="L1935" s="16"/>
    </row>
    <row r="1936" spans="1:12" x14ac:dyDescent="0.25">
      <c r="C1936" s="27" t="str" cm="1">
        <f t="array" ref="C1936">HexToBits(H1915)</f>
        <v>01010101010101101101101001011101</v>
      </c>
      <c r="D1936" s="26"/>
      <c r="E1936" t="str">
        <f>B1922</f>
        <v>01110000001011111010101100001001</v>
      </c>
    </row>
    <row r="1937" spans="1:13" x14ac:dyDescent="0.25">
      <c r="A1937" s="7" t="s">
        <v>374</v>
      </c>
      <c r="B1937" t="str">
        <f>_xlfn.BASE(MOD(_xlfn.DECIMAL(C1936,2) + _xlfn.DECIMAL(E1936,2), 4294967296), 2, 32)</f>
        <v>11000101100001101000010101100110</v>
      </c>
      <c r="D1937" s="16"/>
    </row>
    <row r="1938" spans="1:13" x14ac:dyDescent="0.25">
      <c r="A1938" s="7" t="s">
        <v>375</v>
      </c>
      <c r="B1938" t="str" cm="1">
        <f t="array" ref="B1938">BitsToHex(B1937)</f>
        <v>C5868566</v>
      </c>
      <c r="C1938" s="28"/>
      <c r="D1938" s="26"/>
      <c r="E1938" s="7"/>
    </row>
    <row r="1939" spans="1:13" x14ac:dyDescent="0.25">
      <c r="A1939" s="7"/>
      <c r="C1939" s="28"/>
      <c r="D1939" s="26"/>
      <c r="E1939" s="7"/>
    </row>
    <row r="1940" spans="1:13" x14ac:dyDescent="0.25">
      <c r="A1940" s="7" t="s">
        <v>376</v>
      </c>
      <c r="C1940" s="28" t="s">
        <v>377</v>
      </c>
      <c r="D1940" s="26" t="s">
        <v>183</v>
      </c>
      <c r="E1940" s="7" t="s">
        <v>378</v>
      </c>
    </row>
    <row r="1941" spans="1:13" x14ac:dyDescent="0.25">
      <c r="A1941" s="7"/>
      <c r="C1941" s="27" t="str">
        <f>B1922</f>
        <v>01110000001011111010101100001001</v>
      </c>
      <c r="D1941" s="16"/>
      <c r="E1941" t="str">
        <f>B1931</f>
        <v>10100110010010101010111010100011</v>
      </c>
    </row>
    <row r="1942" spans="1:13" x14ac:dyDescent="0.25">
      <c r="A1942" s="7"/>
      <c r="C1942" s="28"/>
      <c r="D1942" s="26"/>
      <c r="E1942" s="7"/>
    </row>
    <row r="1943" spans="1:13" x14ac:dyDescent="0.25">
      <c r="A1943" s="7" t="s">
        <v>376</v>
      </c>
      <c r="B1943" t="str">
        <f>_xlfn.BASE(MOD(_xlfn.DECIMAL(C1941,2) + _xlfn.DECIMAL(E1941,2), 4294967296), 2, 32)</f>
        <v>00010110011110100101100110101100</v>
      </c>
      <c r="C1943" s="28"/>
      <c r="D1943" s="26"/>
      <c r="E1943" s="7"/>
    </row>
    <row r="1944" spans="1:13" x14ac:dyDescent="0.25">
      <c r="A1944" s="7" t="s">
        <v>375</v>
      </c>
      <c r="B1944" t="str" cm="1">
        <f t="array" ref="B1944">BitsToHex(B1943)</f>
        <v>167A59AC</v>
      </c>
    </row>
    <row r="1946" spans="1:13" x14ac:dyDescent="0.25">
      <c r="C1946" s="27" t="s">
        <v>225</v>
      </c>
      <c r="E1946" s="24" t="s">
        <v>8</v>
      </c>
      <c r="F1946" s="24" t="s">
        <v>29</v>
      </c>
      <c r="G1946" s="24" t="s">
        <v>30</v>
      </c>
      <c r="H1946" s="24" t="s">
        <v>31</v>
      </c>
      <c r="I1946" s="24" t="s">
        <v>221</v>
      </c>
      <c r="J1946" s="24" t="s">
        <v>222</v>
      </c>
      <c r="K1946" s="24" t="s">
        <v>34</v>
      </c>
      <c r="L1946" s="24" t="s">
        <v>223</v>
      </c>
    </row>
    <row r="1947" spans="1:13" x14ac:dyDescent="0.25">
      <c r="E1947" s="24" t="str">
        <f>B1944</f>
        <v>167A59AC</v>
      </c>
      <c r="F1947" s="24" t="str">
        <f>E1915</f>
        <v>D7D48E6F</v>
      </c>
      <c r="G1947" s="24" t="str">
        <f>F1915</f>
        <v>D9880153</v>
      </c>
      <c r="H1947" s="24" t="str">
        <f>G1915</f>
        <v>619B9C41</v>
      </c>
      <c r="I1947" s="24" t="str">
        <f>B1938</f>
        <v>C5868566</v>
      </c>
      <c r="J1947" s="25" t="str">
        <f>I1915</f>
        <v>539B8126</v>
      </c>
      <c r="K1947" s="24" t="str">
        <f>J1915</f>
        <v>E6B163C6</v>
      </c>
      <c r="L1947" s="24" t="str">
        <f>K1915</f>
        <v>1B549A92</v>
      </c>
    </row>
    <row r="1948" spans="1:13" x14ac:dyDescent="0.25">
      <c r="A1948" s="2"/>
      <c r="B1948" s="2"/>
      <c r="C1948" s="30" t="s">
        <v>379</v>
      </c>
      <c r="D1948" s="2">
        <v>54</v>
      </c>
      <c r="E1948" s="2"/>
      <c r="F1948" s="2"/>
      <c r="G1948" s="2"/>
      <c r="H1948" s="2"/>
      <c r="I1948" s="2"/>
      <c r="J1948" s="2"/>
      <c r="K1948" s="2"/>
      <c r="L1948" s="2"/>
      <c r="M1948" s="2"/>
    </row>
    <row r="1949" spans="1:13" x14ac:dyDescent="0.25">
      <c r="D1949" t="s">
        <v>380</v>
      </c>
      <c r="E1949">
        <f>D1948+1</f>
        <v>55</v>
      </c>
    </row>
    <row r="1950" spans="1:13" x14ac:dyDescent="0.25">
      <c r="C1950" s="27" t="s">
        <v>224</v>
      </c>
      <c r="E1950" s="24" t="s">
        <v>8</v>
      </c>
      <c r="F1950" s="24" t="s">
        <v>29</v>
      </c>
      <c r="G1950" s="24" t="s">
        <v>30</v>
      </c>
      <c r="H1950" s="24" t="s">
        <v>31</v>
      </c>
      <c r="I1950" s="24" t="s">
        <v>221</v>
      </c>
      <c r="J1950" s="24" t="s">
        <v>222</v>
      </c>
      <c r="K1950" s="24" t="s">
        <v>34</v>
      </c>
      <c r="L1950" s="24" t="s">
        <v>223</v>
      </c>
    </row>
    <row r="1951" spans="1:13" x14ac:dyDescent="0.25">
      <c r="E1951" s="24" t="str">
        <f t="shared" ref="E1951:L1951" si="54">E1947</f>
        <v>167A59AC</v>
      </c>
      <c r="F1951" s="24" t="str">
        <f t="shared" si="54"/>
        <v>D7D48E6F</v>
      </c>
      <c r="G1951" s="24" t="str">
        <f t="shared" si="54"/>
        <v>D9880153</v>
      </c>
      <c r="H1951" s="24" t="str">
        <f t="shared" si="54"/>
        <v>619B9C41</v>
      </c>
      <c r="I1951" s="25" t="str">
        <f t="shared" si="54"/>
        <v>C5868566</v>
      </c>
      <c r="J1951" s="24" t="str">
        <f t="shared" si="54"/>
        <v>539B8126</v>
      </c>
      <c r="K1951" s="24" t="str">
        <f t="shared" si="54"/>
        <v>E6B163C6</v>
      </c>
      <c r="L1951" s="24" t="str">
        <f t="shared" si="54"/>
        <v>1B549A92</v>
      </c>
    </row>
    <row r="1953" spans="1:11" x14ac:dyDescent="0.25">
      <c r="A1953" s="7" t="s">
        <v>363</v>
      </c>
      <c r="B1953" s="7"/>
      <c r="C1953" s="28" t="s">
        <v>223</v>
      </c>
      <c r="D1953" s="26" t="s">
        <v>183</v>
      </c>
      <c r="E1953" s="8" t="s">
        <v>365</v>
      </c>
      <c r="F1953" s="26" t="s">
        <v>183</v>
      </c>
      <c r="G1953" s="8" t="s">
        <v>366</v>
      </c>
      <c r="H1953" s="26" t="s">
        <v>183</v>
      </c>
      <c r="I1953" s="8" t="s">
        <v>367</v>
      </c>
      <c r="J1953" s="26" t="s">
        <v>183</v>
      </c>
      <c r="K1953" s="8" t="s">
        <v>368</v>
      </c>
    </row>
    <row r="1954" spans="1:11" x14ac:dyDescent="0.25">
      <c r="A1954" s="7"/>
    </row>
    <row r="1955" spans="1:11" x14ac:dyDescent="0.25">
      <c r="A1955" s="7"/>
      <c r="C1955" s="27" t="str">
        <f>L1951</f>
        <v>1B549A92</v>
      </c>
      <c r="E1955" t="str" cm="1">
        <f t="array" ref="E1955">BSIG1_H(I1951)</f>
        <v>F48C19A7</v>
      </c>
      <c r="G1955" t="str" cm="1">
        <f t="array" ref="G1955">CH_H(I1951,J1951,K1951)</f>
        <v>63B3E3A6</v>
      </c>
      <c r="I1955" t="str" cm="1">
        <f t="array" ref="I1955">INDEX(Folha3!$C$15:$J$22,IF(MOD(E1949,8)=0,0,1)+INT(E1949/8),1+MOD(E1949-1,8))</f>
        <v>5b9cca4f</v>
      </c>
      <c r="K1955" t="str" cm="1">
        <f t="array" ref="K1955">INDEX(Folha3!$C$38:$BN$38,1,E1949)</f>
        <v>2311D2E0</v>
      </c>
    </row>
    <row r="1956" spans="1:11" x14ac:dyDescent="0.25">
      <c r="A1956" s="7" t="s">
        <v>370</v>
      </c>
      <c r="C1956" s="27" t="str" cm="1">
        <f t="array" ref="C1956">HexToBits(C1955)</f>
        <v>00011011010101001001101010010010</v>
      </c>
      <c r="E1956" t="str" cm="1">
        <f t="array" ref="E1956">HexToBits(E1955)</f>
        <v>11110100100011000001100110100111</v>
      </c>
      <c r="G1956" t="str" cm="1">
        <f t="array" ref="G1956">HexToBits(G1955)</f>
        <v>01100011101100111110001110100110</v>
      </c>
      <c r="I1956" t="str" cm="1">
        <f t="array" ref="I1956">HexToBits(I1955)</f>
        <v>01011011100111001100101001001111</v>
      </c>
      <c r="K1956" t="str" cm="1">
        <f t="array" ref="K1956">HexToBits(K1955)</f>
        <v>00100011000100011101001011100000</v>
      </c>
    </row>
    <row r="1957" spans="1:11" x14ac:dyDescent="0.25">
      <c r="A1957" s="7"/>
    </row>
    <row r="1958" spans="1:11" x14ac:dyDescent="0.25">
      <c r="A1958" s="7" t="s">
        <v>364</v>
      </c>
      <c r="B1958" t="str">
        <f>_xlfn.BASE(
  (_xlfn.DECIMAL(C1956,2)+_xlfn.DECIMAL(E1956,2)+_xlfn.DECIMAL(G1956,2)+_xlfn.DECIMAL(I1956,2)+_xlfn.DECIMAL(K1956,2))
  - (INT((_xlfn.DECIMAL(C1956,2)+_xlfn.DECIMAL(E1956,2)+_xlfn.DECIMAL(G1956,2)+_xlfn.DECIMAL(I1956,2)+_xlfn.DECIMAL(K1956,2)) / 4294967296) * 4294967296),
  2,
  32
)</f>
        <v>11110010010000110011010100001110</v>
      </c>
    </row>
    <row r="1959" spans="1:11" x14ac:dyDescent="0.25">
      <c r="A1959" s="7" t="s">
        <v>369</v>
      </c>
      <c r="B1959" t="str" cm="1">
        <f t="array" ref="B1959">BitsToHex(B1958)</f>
        <v>F243350E</v>
      </c>
    </row>
    <row r="1962" spans="1:11" x14ac:dyDescent="0.25">
      <c r="A1962" s="7" t="s">
        <v>373</v>
      </c>
      <c r="B1962" s="7"/>
      <c r="C1962" s="29" t="s">
        <v>371</v>
      </c>
      <c r="D1962" s="26" t="s">
        <v>183</v>
      </c>
      <c r="E1962" s="8" t="s">
        <v>372</v>
      </c>
      <c r="J1962" s="32"/>
    </row>
    <row r="1963" spans="1:11" x14ac:dyDescent="0.25">
      <c r="A1963" s="7"/>
    </row>
    <row r="1964" spans="1:11" x14ac:dyDescent="0.25">
      <c r="A1964" s="7"/>
      <c r="C1964" s="27" t="str" cm="1">
        <f t="array" ref="C1964">BSIG0_H(E1951)</f>
        <v>219895E0</v>
      </c>
      <c r="E1964" t="str" cm="1">
        <f t="array" ref="E1964">MAJ_H(E1951,F1951,G1951)</f>
        <v>D7D8096F</v>
      </c>
    </row>
    <row r="1965" spans="1:11" x14ac:dyDescent="0.25">
      <c r="A1965" s="7" t="s">
        <v>370</v>
      </c>
      <c r="C1965" s="27" t="str" cm="1">
        <f t="array" ref="C1965">HexToBits(C1964)</f>
        <v>00100001100110001001010111100000</v>
      </c>
      <c r="E1965" t="str" cm="1">
        <f t="array" ref="E1965">HexToBits(E1964)</f>
        <v>11010111110110000000100101101111</v>
      </c>
    </row>
    <row r="1966" spans="1:11" x14ac:dyDescent="0.25">
      <c r="A1966" s="7"/>
    </row>
    <row r="1967" spans="1:11" x14ac:dyDescent="0.25">
      <c r="A1967" s="7" t="s">
        <v>373</v>
      </c>
      <c r="B1967" t="str">
        <f>_xlfn.BASE(MOD(_xlfn.DECIMAL(C1965,2) + _xlfn.DECIMAL(E1965,2), 4294967296), 2, 32)</f>
        <v>11111001011100001001111101001111</v>
      </c>
    </row>
    <row r="1968" spans="1:11" x14ac:dyDescent="0.25">
      <c r="A1968" s="7" t="s">
        <v>369</v>
      </c>
      <c r="B1968" t="str" cm="1">
        <f t="array" ref="B1968">BitsToHex(B1967)</f>
        <v>F9709F4F</v>
      </c>
    </row>
    <row r="1969" spans="1:13" x14ac:dyDescent="0.25">
      <c r="A1969" s="7"/>
    </row>
    <row r="1970" spans="1:13" x14ac:dyDescent="0.25">
      <c r="A1970" s="7" t="s">
        <v>374</v>
      </c>
      <c r="C1970" s="28" t="s">
        <v>31</v>
      </c>
      <c r="D1970" s="26" t="s">
        <v>183</v>
      </c>
      <c r="E1970" s="7" t="s">
        <v>227</v>
      </c>
    </row>
    <row r="1971" spans="1:13" x14ac:dyDescent="0.25">
      <c r="A1971" s="7"/>
      <c r="C1971" s="28"/>
      <c r="D1971" s="26"/>
      <c r="E1971" s="7"/>
      <c r="L1971" s="16"/>
    </row>
    <row r="1972" spans="1:13" x14ac:dyDescent="0.25">
      <c r="C1972" s="27" t="str" cm="1">
        <f t="array" ref="C1972">HexToBits(H1951)</f>
        <v>01100001100110111001110001000001</v>
      </c>
      <c r="D1972" s="26"/>
      <c r="E1972" t="str">
        <f>B1958</f>
        <v>11110010010000110011010100001110</v>
      </c>
    </row>
    <row r="1973" spans="1:13" x14ac:dyDescent="0.25">
      <c r="A1973" s="7" t="s">
        <v>374</v>
      </c>
      <c r="B1973" t="str">
        <f>_xlfn.BASE(MOD(_xlfn.DECIMAL(C1972,2) + _xlfn.DECIMAL(E1972,2), 4294967296), 2, 32)</f>
        <v>01010011110111101101000101001111</v>
      </c>
      <c r="D1973" s="16"/>
    </row>
    <row r="1974" spans="1:13" x14ac:dyDescent="0.25">
      <c r="A1974" s="7" t="s">
        <v>375</v>
      </c>
      <c r="B1974" t="str" cm="1">
        <f t="array" ref="B1974">BitsToHex(B1973)</f>
        <v>53DED14F</v>
      </c>
      <c r="C1974" s="28"/>
      <c r="D1974" s="26"/>
      <c r="E1974" s="7"/>
    </row>
    <row r="1975" spans="1:13" x14ac:dyDescent="0.25">
      <c r="A1975" s="7"/>
      <c r="C1975" s="28"/>
      <c r="D1975" s="26"/>
      <c r="E1975" s="7"/>
    </row>
    <row r="1976" spans="1:13" x14ac:dyDescent="0.25">
      <c r="A1976" s="7" t="s">
        <v>376</v>
      </c>
      <c r="C1976" s="28" t="s">
        <v>377</v>
      </c>
      <c r="D1976" s="26" t="s">
        <v>183</v>
      </c>
      <c r="E1976" s="7" t="s">
        <v>378</v>
      </c>
    </row>
    <row r="1977" spans="1:13" x14ac:dyDescent="0.25">
      <c r="A1977" s="7"/>
      <c r="C1977" s="27" t="str">
        <f>B1958</f>
        <v>11110010010000110011010100001110</v>
      </c>
      <c r="D1977" s="16"/>
      <c r="E1977" t="str">
        <f>B1967</f>
        <v>11111001011100001001111101001111</v>
      </c>
    </row>
    <row r="1978" spans="1:13" x14ac:dyDescent="0.25">
      <c r="A1978" s="7"/>
      <c r="C1978" s="28"/>
      <c r="D1978" s="26"/>
      <c r="E1978" s="7"/>
    </row>
    <row r="1979" spans="1:13" x14ac:dyDescent="0.25">
      <c r="A1979" s="7" t="s">
        <v>376</v>
      </c>
      <c r="B1979" t="str">
        <f>_xlfn.BASE(MOD(_xlfn.DECIMAL(C1977,2) + _xlfn.DECIMAL(E1977,2), 4294967296), 2, 32)</f>
        <v>11101011101100111101010001011101</v>
      </c>
      <c r="C1979" s="28"/>
      <c r="D1979" s="26"/>
      <c r="E1979" s="7"/>
    </row>
    <row r="1980" spans="1:13" x14ac:dyDescent="0.25">
      <c r="A1980" s="7" t="s">
        <v>375</v>
      </c>
      <c r="B1980" t="str" cm="1">
        <f t="array" ref="B1980">BitsToHex(B1979)</f>
        <v>EBB3D45D</v>
      </c>
    </row>
    <row r="1982" spans="1:13" x14ac:dyDescent="0.25">
      <c r="C1982" s="27" t="s">
        <v>225</v>
      </c>
      <c r="E1982" s="24" t="s">
        <v>8</v>
      </c>
      <c r="F1982" s="24" t="s">
        <v>29</v>
      </c>
      <c r="G1982" s="24" t="s">
        <v>30</v>
      </c>
      <c r="H1982" s="24" t="s">
        <v>31</v>
      </c>
      <c r="I1982" s="24" t="s">
        <v>221</v>
      </c>
      <c r="J1982" s="24" t="s">
        <v>222</v>
      </c>
      <c r="K1982" s="24" t="s">
        <v>34</v>
      </c>
      <c r="L1982" s="24" t="s">
        <v>223</v>
      </c>
    </row>
    <row r="1983" spans="1:13" x14ac:dyDescent="0.25">
      <c r="E1983" s="24" t="str">
        <f>B1980</f>
        <v>EBB3D45D</v>
      </c>
      <c r="F1983" s="24" t="str">
        <f>E1951</f>
        <v>167A59AC</v>
      </c>
      <c r="G1983" s="24" t="str">
        <f>F1951</f>
        <v>D7D48E6F</v>
      </c>
      <c r="H1983" s="24" t="str">
        <f>G1951</f>
        <v>D9880153</v>
      </c>
      <c r="I1983" s="24" t="str">
        <f>B1974</f>
        <v>53DED14F</v>
      </c>
      <c r="J1983" s="25" t="str">
        <f>I1951</f>
        <v>C5868566</v>
      </c>
      <c r="K1983" s="24" t="str">
        <f>J1951</f>
        <v>539B8126</v>
      </c>
      <c r="L1983" s="24" t="str">
        <f>K1951</f>
        <v>E6B163C6</v>
      </c>
    </row>
    <row r="1984" spans="1:13" x14ac:dyDescent="0.25">
      <c r="A1984" s="2"/>
      <c r="B1984" s="2"/>
      <c r="C1984" s="30" t="s">
        <v>379</v>
      </c>
      <c r="D1984" s="2">
        <v>55</v>
      </c>
      <c r="E1984" s="2"/>
      <c r="F1984" s="2"/>
      <c r="G1984" s="2"/>
      <c r="H1984" s="2"/>
      <c r="I1984" s="2"/>
      <c r="J1984" s="2"/>
      <c r="K1984" s="2"/>
      <c r="L1984" s="2"/>
      <c r="M1984" s="2"/>
    </row>
    <row r="1985" spans="1:12" x14ac:dyDescent="0.25">
      <c r="D1985" t="s">
        <v>380</v>
      </c>
      <c r="E1985">
        <f>D1984+1</f>
        <v>56</v>
      </c>
    </row>
    <row r="1986" spans="1:12" x14ac:dyDescent="0.25">
      <c r="C1986" s="27" t="s">
        <v>224</v>
      </c>
      <c r="E1986" s="24" t="s">
        <v>8</v>
      </c>
      <c r="F1986" s="24" t="s">
        <v>29</v>
      </c>
      <c r="G1986" s="24" t="s">
        <v>30</v>
      </c>
      <c r="H1986" s="24" t="s">
        <v>31</v>
      </c>
      <c r="I1986" s="24" t="s">
        <v>221</v>
      </c>
      <c r="J1986" s="24" t="s">
        <v>222</v>
      </c>
      <c r="K1986" s="24" t="s">
        <v>34</v>
      </c>
      <c r="L1986" s="24" t="s">
        <v>223</v>
      </c>
    </row>
    <row r="1987" spans="1:12" x14ac:dyDescent="0.25">
      <c r="E1987" s="24" t="str">
        <f t="shared" ref="E1987:L1987" si="55">E1983</f>
        <v>EBB3D45D</v>
      </c>
      <c r="F1987" s="24" t="str">
        <f t="shared" si="55"/>
        <v>167A59AC</v>
      </c>
      <c r="G1987" s="24" t="str">
        <f t="shared" si="55"/>
        <v>D7D48E6F</v>
      </c>
      <c r="H1987" s="24" t="str">
        <f t="shared" si="55"/>
        <v>D9880153</v>
      </c>
      <c r="I1987" s="25" t="str">
        <f t="shared" si="55"/>
        <v>53DED14F</v>
      </c>
      <c r="J1987" s="24" t="str">
        <f t="shared" si="55"/>
        <v>C5868566</v>
      </c>
      <c r="K1987" s="24" t="str">
        <f t="shared" si="55"/>
        <v>539B8126</v>
      </c>
      <c r="L1987" s="24" t="str">
        <f t="shared" si="55"/>
        <v>E6B163C6</v>
      </c>
    </row>
    <row r="1989" spans="1:12" x14ac:dyDescent="0.25">
      <c r="A1989" s="7" t="s">
        <v>363</v>
      </c>
      <c r="B1989" s="7"/>
      <c r="C1989" s="28" t="s">
        <v>223</v>
      </c>
      <c r="D1989" s="26" t="s">
        <v>183</v>
      </c>
      <c r="E1989" s="8" t="s">
        <v>365</v>
      </c>
      <c r="F1989" s="26" t="s">
        <v>183</v>
      </c>
      <c r="G1989" s="8" t="s">
        <v>366</v>
      </c>
      <c r="H1989" s="26" t="s">
        <v>183</v>
      </c>
      <c r="I1989" s="8" t="s">
        <v>367</v>
      </c>
      <c r="J1989" s="26" t="s">
        <v>183</v>
      </c>
      <c r="K1989" s="8" t="s">
        <v>368</v>
      </c>
    </row>
    <row r="1990" spans="1:12" x14ac:dyDescent="0.25">
      <c r="A1990" s="7"/>
    </row>
    <row r="1991" spans="1:12" x14ac:dyDescent="0.25">
      <c r="A1991" s="7"/>
      <c r="C1991" s="27" t="str">
        <f>L1987</f>
        <v>E6B163C6</v>
      </c>
      <c r="E1991" t="str" cm="1">
        <f t="array" ref="E1991">BSIG1_H(I1987)</f>
        <v>FBCDA736</v>
      </c>
      <c r="G1991" t="str" cm="1">
        <f t="array" ref="G1991">CH_H(I1987,J1987,K1987)</f>
        <v>41878166</v>
      </c>
      <c r="I1991" t="str" cm="1">
        <f t="array" ref="I1991">INDEX(Folha3!$C$15:$J$22,IF(MOD(E1985,8)=0,0,1)+INT(E1985/8),1+MOD(E1985-1,8))</f>
        <v>682e6ff3</v>
      </c>
      <c r="K1991" t="str" cm="1">
        <f t="array" ref="K1991">INDEX(Folha3!$C$38:$BN$38,1,E1985)</f>
        <v>5BE34DE4</v>
      </c>
    </row>
    <row r="1992" spans="1:12" x14ac:dyDescent="0.25">
      <c r="A1992" s="7" t="s">
        <v>370</v>
      </c>
      <c r="C1992" s="27" t="str" cm="1">
        <f t="array" ref="C1992">HexToBits(C1991)</f>
        <v>11100110101100010110001111000110</v>
      </c>
      <c r="E1992" t="str" cm="1">
        <f t="array" ref="E1992">HexToBits(E1991)</f>
        <v>11111011110011011010011100110110</v>
      </c>
      <c r="G1992" t="str" cm="1">
        <f t="array" ref="G1992">HexToBits(G1991)</f>
        <v>01000001100001111000000101100110</v>
      </c>
      <c r="I1992" t="str" cm="1">
        <f t="array" ref="I1992">HexToBits(I1991)</f>
        <v>01101000001011100110111111110011</v>
      </c>
      <c r="K1992" t="str" cm="1">
        <f t="array" ref="K1992">HexToBits(K1991)</f>
        <v>01011011111000110100110111100100</v>
      </c>
    </row>
    <row r="1993" spans="1:12" x14ac:dyDescent="0.25">
      <c r="A1993" s="7"/>
    </row>
    <row r="1994" spans="1:12" x14ac:dyDescent="0.25">
      <c r="A1994" s="7" t="s">
        <v>364</v>
      </c>
      <c r="B1994" t="str">
        <f>_xlfn.BASE(
  (_xlfn.DECIMAL(C1992,2)+_xlfn.DECIMAL(E1992,2)+_xlfn.DECIMAL(G1992,2)+_xlfn.DECIMAL(I1992,2)+_xlfn.DECIMAL(K1992,2))
  - (INT((_xlfn.DECIMAL(C1992,2)+_xlfn.DECIMAL(E1992,2)+_xlfn.DECIMAL(G1992,2)+_xlfn.DECIMAL(I1992,2)+_xlfn.DECIMAL(K1992,2)) / 4294967296) * 4294967296),
  2,
  32
)</f>
        <v>11101000000110000100101000111001</v>
      </c>
    </row>
    <row r="1995" spans="1:12" x14ac:dyDescent="0.25">
      <c r="A1995" s="7" t="s">
        <v>369</v>
      </c>
      <c r="B1995" t="str" cm="1">
        <f t="array" ref="B1995">BitsToHex(B1994)</f>
        <v>E8184A39</v>
      </c>
    </row>
    <row r="1998" spans="1:12" x14ac:dyDescent="0.25">
      <c r="A1998" s="7" t="s">
        <v>373</v>
      </c>
      <c r="B1998" s="7"/>
      <c r="C1998" s="29" t="s">
        <v>371</v>
      </c>
      <c r="D1998" s="26" t="s">
        <v>183</v>
      </c>
      <c r="E1998" s="8" t="s">
        <v>372</v>
      </c>
      <c r="J1998" s="32"/>
    </row>
    <row r="1999" spans="1:12" x14ac:dyDescent="0.25">
      <c r="A1999" s="7"/>
    </row>
    <row r="2000" spans="1:12" x14ac:dyDescent="0.25">
      <c r="A2000" s="7"/>
      <c r="C2000" s="27" t="str" cm="1">
        <f t="array" ref="C2000">BSIG0_H(E1987)</f>
        <v>1752DF27</v>
      </c>
      <c r="E2000" t="str" cm="1">
        <f t="array" ref="E2000">MAJ_H(E1987,F1987,G1987)</f>
        <v>D7F2DC6D</v>
      </c>
    </row>
    <row r="2001" spans="1:12" x14ac:dyDescent="0.25">
      <c r="A2001" s="7" t="s">
        <v>370</v>
      </c>
      <c r="C2001" s="27" t="str" cm="1">
        <f t="array" ref="C2001">HexToBits(C2000)</f>
        <v>00010111010100101101111100100111</v>
      </c>
      <c r="E2001" t="str" cm="1">
        <f t="array" ref="E2001">HexToBits(E2000)</f>
        <v>11010111111100101101110001101101</v>
      </c>
    </row>
    <row r="2002" spans="1:12" x14ac:dyDescent="0.25">
      <c r="A2002" s="7"/>
    </row>
    <row r="2003" spans="1:12" x14ac:dyDescent="0.25">
      <c r="A2003" s="7" t="s">
        <v>373</v>
      </c>
      <c r="B2003" t="str">
        <f>_xlfn.BASE(MOD(_xlfn.DECIMAL(C2001,2) + _xlfn.DECIMAL(E2001,2), 4294967296), 2, 32)</f>
        <v>11101111010001011011101110010100</v>
      </c>
    </row>
    <row r="2004" spans="1:12" x14ac:dyDescent="0.25">
      <c r="A2004" s="7" t="s">
        <v>369</v>
      </c>
      <c r="B2004" t="str" cm="1">
        <f t="array" ref="B2004">BitsToHex(B2003)</f>
        <v>EF45BB94</v>
      </c>
    </row>
    <row r="2005" spans="1:12" x14ac:dyDescent="0.25">
      <c r="A2005" s="7"/>
    </row>
    <row r="2006" spans="1:12" x14ac:dyDescent="0.25">
      <c r="A2006" s="7" t="s">
        <v>374</v>
      </c>
      <c r="C2006" s="28" t="s">
        <v>31</v>
      </c>
      <c r="D2006" s="26" t="s">
        <v>183</v>
      </c>
      <c r="E2006" s="7" t="s">
        <v>227</v>
      </c>
    </row>
    <row r="2007" spans="1:12" x14ac:dyDescent="0.25">
      <c r="A2007" s="7"/>
      <c r="C2007" s="28"/>
      <c r="D2007" s="26"/>
      <c r="E2007" s="7"/>
      <c r="L2007" s="16"/>
    </row>
    <row r="2008" spans="1:12" x14ac:dyDescent="0.25">
      <c r="C2008" s="27" t="str" cm="1">
        <f t="array" ref="C2008">HexToBits(H1987)</f>
        <v>11011001100010000000000101010011</v>
      </c>
      <c r="D2008" s="26"/>
      <c r="E2008" t="str">
        <f>B1994</f>
        <v>11101000000110000100101000111001</v>
      </c>
    </row>
    <row r="2009" spans="1:12" x14ac:dyDescent="0.25">
      <c r="A2009" s="7" t="s">
        <v>374</v>
      </c>
      <c r="B2009" t="str">
        <f>_xlfn.BASE(MOD(_xlfn.DECIMAL(C2008,2) + _xlfn.DECIMAL(E2008,2), 4294967296), 2, 32)</f>
        <v>11000001101000000100101110001100</v>
      </c>
      <c r="D2009" s="16"/>
    </row>
    <row r="2010" spans="1:12" x14ac:dyDescent="0.25">
      <c r="A2010" s="7" t="s">
        <v>375</v>
      </c>
      <c r="B2010" t="str" cm="1">
        <f t="array" ref="B2010">BitsToHex(B2009)</f>
        <v>C1A04B8C</v>
      </c>
      <c r="C2010" s="28"/>
      <c r="D2010" s="26"/>
      <c r="E2010" s="7"/>
    </row>
    <row r="2011" spans="1:12" x14ac:dyDescent="0.25">
      <c r="A2011" s="7"/>
      <c r="C2011" s="28"/>
      <c r="D2011" s="26"/>
      <c r="E2011" s="7"/>
    </row>
    <row r="2012" spans="1:12" x14ac:dyDescent="0.25">
      <c r="A2012" s="7" t="s">
        <v>376</v>
      </c>
      <c r="C2012" s="28" t="s">
        <v>377</v>
      </c>
      <c r="D2012" s="26" t="s">
        <v>183</v>
      </c>
      <c r="E2012" s="7" t="s">
        <v>378</v>
      </c>
    </row>
    <row r="2013" spans="1:12" x14ac:dyDescent="0.25">
      <c r="A2013" s="7"/>
      <c r="C2013" s="27" t="str">
        <f>B1994</f>
        <v>11101000000110000100101000111001</v>
      </c>
      <c r="D2013" s="16"/>
      <c r="E2013" t="str">
        <f>B2003</f>
        <v>11101111010001011011101110010100</v>
      </c>
    </row>
    <row r="2014" spans="1:12" x14ac:dyDescent="0.25">
      <c r="A2014" s="7"/>
      <c r="C2014" s="28"/>
      <c r="D2014" s="26"/>
      <c r="E2014" s="7"/>
    </row>
    <row r="2015" spans="1:12" x14ac:dyDescent="0.25">
      <c r="A2015" s="7" t="s">
        <v>376</v>
      </c>
      <c r="B2015" t="str">
        <f>_xlfn.BASE(MOD(_xlfn.DECIMAL(C2013,2) + _xlfn.DECIMAL(E2013,2), 4294967296), 2, 32)</f>
        <v>11010111010111100000010111001101</v>
      </c>
      <c r="C2015" s="28"/>
      <c r="D2015" s="26"/>
      <c r="E2015" s="7"/>
    </row>
    <row r="2016" spans="1:12" x14ac:dyDescent="0.25">
      <c r="A2016" s="7" t="s">
        <v>375</v>
      </c>
      <c r="B2016" t="str" cm="1">
        <f t="array" ref="B2016">BitsToHex(B2015)</f>
        <v>D75E05CD</v>
      </c>
    </row>
    <row r="2018" spans="1:13" x14ac:dyDescent="0.25">
      <c r="C2018" s="27" t="s">
        <v>225</v>
      </c>
      <c r="E2018" s="24" t="s">
        <v>8</v>
      </c>
      <c r="F2018" s="24" t="s">
        <v>29</v>
      </c>
      <c r="G2018" s="24" t="s">
        <v>30</v>
      </c>
      <c r="H2018" s="24" t="s">
        <v>31</v>
      </c>
      <c r="I2018" s="24" t="s">
        <v>221</v>
      </c>
      <c r="J2018" s="24" t="s">
        <v>222</v>
      </c>
      <c r="K2018" s="24" t="s">
        <v>34</v>
      </c>
      <c r="L2018" s="24" t="s">
        <v>223</v>
      </c>
    </row>
    <row r="2019" spans="1:13" x14ac:dyDescent="0.25">
      <c r="E2019" s="24" t="str">
        <f>B2016</f>
        <v>D75E05CD</v>
      </c>
      <c r="F2019" s="24" t="str">
        <f>E1987</f>
        <v>EBB3D45D</v>
      </c>
      <c r="G2019" s="24" t="str">
        <f>F1987</f>
        <v>167A59AC</v>
      </c>
      <c r="H2019" s="24" t="str">
        <f>G1987</f>
        <v>D7D48E6F</v>
      </c>
      <c r="I2019" s="24" t="str">
        <f>B2010</f>
        <v>C1A04B8C</v>
      </c>
      <c r="J2019" s="25" t="str">
        <f>I1987</f>
        <v>53DED14F</v>
      </c>
      <c r="K2019" s="24" t="str">
        <f>J1987</f>
        <v>C5868566</v>
      </c>
      <c r="L2019" s="24" t="str">
        <f>K1987</f>
        <v>539B8126</v>
      </c>
    </row>
    <row r="2020" spans="1:13" x14ac:dyDescent="0.25">
      <c r="A2020" s="2"/>
      <c r="B2020" s="2"/>
      <c r="C2020" s="30" t="s">
        <v>379</v>
      </c>
      <c r="D2020" s="2">
        <v>56</v>
      </c>
      <c r="E2020" s="2"/>
      <c r="F2020" s="2"/>
      <c r="G2020" s="2"/>
      <c r="H2020" s="2"/>
      <c r="I2020" s="2"/>
      <c r="J2020" s="2"/>
      <c r="K2020" s="2"/>
      <c r="L2020" s="2"/>
      <c r="M2020" s="2"/>
    </row>
    <row r="2021" spans="1:13" x14ac:dyDescent="0.25">
      <c r="D2021" t="s">
        <v>380</v>
      </c>
      <c r="E2021">
        <f>D2020+1</f>
        <v>57</v>
      </c>
    </row>
    <row r="2022" spans="1:13" x14ac:dyDescent="0.25">
      <c r="C2022" s="27" t="s">
        <v>224</v>
      </c>
      <c r="E2022" s="24" t="s">
        <v>8</v>
      </c>
      <c r="F2022" s="24" t="s">
        <v>29</v>
      </c>
      <c r="G2022" s="24" t="s">
        <v>30</v>
      </c>
      <c r="H2022" s="24" t="s">
        <v>31</v>
      </c>
      <c r="I2022" s="24" t="s">
        <v>221</v>
      </c>
      <c r="J2022" s="24" t="s">
        <v>222</v>
      </c>
      <c r="K2022" s="24" t="s">
        <v>34</v>
      </c>
      <c r="L2022" s="24" t="s">
        <v>223</v>
      </c>
    </row>
    <row r="2023" spans="1:13" x14ac:dyDescent="0.25">
      <c r="E2023" s="24" t="str">
        <f t="shared" ref="E2023:L2023" si="56">E2019</f>
        <v>D75E05CD</v>
      </c>
      <c r="F2023" s="24" t="str">
        <f t="shared" si="56"/>
        <v>EBB3D45D</v>
      </c>
      <c r="G2023" s="24" t="str">
        <f t="shared" si="56"/>
        <v>167A59AC</v>
      </c>
      <c r="H2023" s="24" t="str">
        <f t="shared" si="56"/>
        <v>D7D48E6F</v>
      </c>
      <c r="I2023" s="25" t="str">
        <f t="shared" si="56"/>
        <v>C1A04B8C</v>
      </c>
      <c r="J2023" s="24" t="str">
        <f t="shared" si="56"/>
        <v>53DED14F</v>
      </c>
      <c r="K2023" s="24" t="str">
        <f t="shared" si="56"/>
        <v>C5868566</v>
      </c>
      <c r="L2023" s="24" t="str">
        <f t="shared" si="56"/>
        <v>539B8126</v>
      </c>
    </row>
    <row r="2025" spans="1:13" x14ac:dyDescent="0.25">
      <c r="A2025" s="7" t="s">
        <v>363</v>
      </c>
      <c r="B2025" s="7"/>
      <c r="C2025" s="28" t="s">
        <v>223</v>
      </c>
      <c r="D2025" s="26" t="s">
        <v>183</v>
      </c>
      <c r="E2025" s="8" t="s">
        <v>365</v>
      </c>
      <c r="F2025" s="26" t="s">
        <v>183</v>
      </c>
      <c r="G2025" s="8" t="s">
        <v>366</v>
      </c>
      <c r="H2025" s="26" t="s">
        <v>183</v>
      </c>
      <c r="I2025" s="8" t="s">
        <v>367</v>
      </c>
      <c r="J2025" s="26" t="s">
        <v>183</v>
      </c>
      <c r="K2025" s="8" t="s">
        <v>368</v>
      </c>
    </row>
    <row r="2026" spans="1:13" x14ac:dyDescent="0.25">
      <c r="A2026" s="7"/>
    </row>
    <row r="2027" spans="1:13" x14ac:dyDescent="0.25">
      <c r="A2027" s="7"/>
      <c r="C2027" s="27" t="str">
        <f>L2023</f>
        <v>539B8126</v>
      </c>
      <c r="E2027" t="str" cm="1">
        <f t="array" ref="E2027">BSIG1_H(I2023)</f>
        <v>92BB7347</v>
      </c>
      <c r="G2027" t="str" cm="1">
        <f t="array" ref="G2027">CH_H(I2023,J2023,K2023)</f>
        <v>4586C56E</v>
      </c>
      <c r="I2027" t="str" cm="1">
        <f t="array" ref="I2027">INDEX(Folha3!$C$15:$J$22,IF(MOD(E2021,8)=0,0,1)+INT(E2021/8),1+MOD(E2021-1,8))</f>
        <v>748f82ee</v>
      </c>
      <c r="K2027" t="str" cm="1">
        <f t="array" ref="K2027">INDEX(Folha3!$C$38:$BN$38,1,E2021)</f>
        <v>2B007E70</v>
      </c>
    </row>
    <row r="2028" spans="1:13" x14ac:dyDescent="0.25">
      <c r="A2028" s="7" t="s">
        <v>370</v>
      </c>
      <c r="C2028" s="27" t="str" cm="1">
        <f t="array" ref="C2028">HexToBits(C2027)</f>
        <v>01010011100110111000000100100110</v>
      </c>
      <c r="E2028" t="str" cm="1">
        <f t="array" ref="E2028">HexToBits(E2027)</f>
        <v>10010010101110110111001101000111</v>
      </c>
      <c r="G2028" t="str" cm="1">
        <f t="array" ref="G2028">HexToBits(G2027)</f>
        <v>01000101100001101100010101101110</v>
      </c>
      <c r="I2028" t="str" cm="1">
        <f t="array" ref="I2028">HexToBits(I2027)</f>
        <v>01110100100011111000001011101110</v>
      </c>
      <c r="K2028" t="str" cm="1">
        <f t="array" ref="K2028">HexToBits(K2027)</f>
        <v>00101011000000000111111001110000</v>
      </c>
    </row>
    <row r="2029" spans="1:13" x14ac:dyDescent="0.25">
      <c r="A2029" s="7"/>
    </row>
    <row r="2030" spans="1:13" x14ac:dyDescent="0.25">
      <c r="A2030" s="7" t="s">
        <v>364</v>
      </c>
      <c r="B2030" t="str">
        <f>_xlfn.BASE(
  (_xlfn.DECIMAL(C2028,2)+_xlfn.DECIMAL(E2028,2)+_xlfn.DECIMAL(G2028,2)+_xlfn.DECIMAL(I2028,2)+_xlfn.DECIMAL(K2028,2))
  - (INT((_xlfn.DECIMAL(C2028,2)+_xlfn.DECIMAL(E2028,2)+_xlfn.DECIMAL(G2028,2)+_xlfn.DECIMAL(I2028,2)+_xlfn.DECIMAL(K2028,2)) / 4294967296) * 4294967296),
  2,
  32
)</f>
        <v>11001011011011011011101100111001</v>
      </c>
    </row>
    <row r="2031" spans="1:13" x14ac:dyDescent="0.25">
      <c r="A2031" s="7" t="s">
        <v>369</v>
      </c>
      <c r="B2031" t="str" cm="1">
        <f t="array" ref="B2031">BitsToHex(B2030)</f>
        <v>CB6DBB39</v>
      </c>
    </row>
    <row r="2034" spans="1:12" x14ac:dyDescent="0.25">
      <c r="A2034" s="7" t="s">
        <v>373</v>
      </c>
      <c r="B2034" s="7"/>
      <c r="C2034" s="29" t="s">
        <v>371</v>
      </c>
      <c r="D2034" s="26" t="s">
        <v>183</v>
      </c>
      <c r="E2034" s="8" t="s">
        <v>372</v>
      </c>
      <c r="J2034" s="32"/>
    </row>
    <row r="2035" spans="1:12" x14ac:dyDescent="0.25">
      <c r="A2035" s="7"/>
    </row>
    <row r="2036" spans="1:12" x14ac:dyDescent="0.25">
      <c r="A2036" s="7"/>
      <c r="C2036" s="27" t="str" cm="1">
        <f t="array" ref="C2036">BSIG0_H(E2023)</f>
        <v>23AE0CDE</v>
      </c>
      <c r="E2036" t="str" cm="1">
        <f t="array" ref="E2036">MAJ_H(E2023,F2023,G2023)</f>
        <v>D77A55CD</v>
      </c>
    </row>
    <row r="2037" spans="1:12" x14ac:dyDescent="0.25">
      <c r="A2037" s="7" t="s">
        <v>370</v>
      </c>
      <c r="C2037" s="27" t="str" cm="1">
        <f t="array" ref="C2037">HexToBits(C2036)</f>
        <v>00100011101011100000110011011110</v>
      </c>
      <c r="E2037" t="str" cm="1">
        <f t="array" ref="E2037">HexToBits(E2036)</f>
        <v>11010111011110100101010111001101</v>
      </c>
    </row>
    <row r="2038" spans="1:12" x14ac:dyDescent="0.25">
      <c r="A2038" s="7"/>
    </row>
    <row r="2039" spans="1:12" x14ac:dyDescent="0.25">
      <c r="A2039" s="7" t="s">
        <v>373</v>
      </c>
      <c r="B2039" t="str">
        <f>_xlfn.BASE(MOD(_xlfn.DECIMAL(C2037,2) + _xlfn.DECIMAL(E2037,2), 4294967296), 2, 32)</f>
        <v>11111011001010000110001010101011</v>
      </c>
    </row>
    <row r="2040" spans="1:12" x14ac:dyDescent="0.25">
      <c r="A2040" s="7" t="s">
        <v>369</v>
      </c>
      <c r="B2040" t="str" cm="1">
        <f t="array" ref="B2040">BitsToHex(B2039)</f>
        <v>FB2862AB</v>
      </c>
    </row>
    <row r="2041" spans="1:12" x14ac:dyDescent="0.25">
      <c r="A2041" s="7"/>
    </row>
    <row r="2042" spans="1:12" x14ac:dyDescent="0.25">
      <c r="A2042" s="7" t="s">
        <v>374</v>
      </c>
      <c r="C2042" s="28" t="s">
        <v>31</v>
      </c>
      <c r="D2042" s="26" t="s">
        <v>183</v>
      </c>
      <c r="E2042" s="7" t="s">
        <v>227</v>
      </c>
    </row>
    <row r="2043" spans="1:12" x14ac:dyDescent="0.25">
      <c r="A2043" s="7"/>
      <c r="C2043" s="28"/>
      <c r="D2043" s="26"/>
      <c r="E2043" s="7"/>
      <c r="L2043" s="16"/>
    </row>
    <row r="2044" spans="1:12" x14ac:dyDescent="0.25">
      <c r="C2044" s="27" t="str" cm="1">
        <f t="array" ref="C2044">HexToBits(H2023)</f>
        <v>11010111110101001000111001101111</v>
      </c>
      <c r="D2044" s="26"/>
      <c r="E2044" t="str">
        <f>B2030</f>
        <v>11001011011011011011101100111001</v>
      </c>
    </row>
    <row r="2045" spans="1:12" x14ac:dyDescent="0.25">
      <c r="A2045" s="7" t="s">
        <v>374</v>
      </c>
      <c r="B2045" t="str">
        <f>_xlfn.BASE(MOD(_xlfn.DECIMAL(C2044,2) + _xlfn.DECIMAL(E2044,2), 4294967296), 2, 32)</f>
        <v>10100011010000100100100110101000</v>
      </c>
      <c r="D2045" s="16"/>
    </row>
    <row r="2046" spans="1:12" x14ac:dyDescent="0.25">
      <c r="A2046" s="7" t="s">
        <v>375</v>
      </c>
      <c r="B2046" t="str" cm="1">
        <f t="array" ref="B2046">BitsToHex(B2045)</f>
        <v>A34249A8</v>
      </c>
      <c r="C2046" s="28"/>
      <c r="D2046" s="26"/>
      <c r="E2046" s="7"/>
    </row>
    <row r="2047" spans="1:12" x14ac:dyDescent="0.25">
      <c r="A2047" s="7"/>
      <c r="C2047" s="28"/>
      <c r="D2047" s="26"/>
      <c r="E2047" s="7"/>
    </row>
    <row r="2048" spans="1:12" x14ac:dyDescent="0.25">
      <c r="A2048" s="7" t="s">
        <v>376</v>
      </c>
      <c r="C2048" s="28" t="s">
        <v>377</v>
      </c>
      <c r="D2048" s="26" t="s">
        <v>183</v>
      </c>
      <c r="E2048" s="7" t="s">
        <v>378</v>
      </c>
    </row>
    <row r="2049" spans="1:13" x14ac:dyDescent="0.25">
      <c r="A2049" s="7"/>
      <c r="C2049" s="27" t="str">
        <f>B2030</f>
        <v>11001011011011011011101100111001</v>
      </c>
      <c r="D2049" s="16"/>
      <c r="E2049" t="str">
        <f>B2039</f>
        <v>11111011001010000110001010101011</v>
      </c>
    </row>
    <row r="2050" spans="1:13" x14ac:dyDescent="0.25">
      <c r="A2050" s="7"/>
      <c r="C2050" s="28"/>
      <c r="D2050" s="26"/>
      <c r="E2050" s="7"/>
    </row>
    <row r="2051" spans="1:13" x14ac:dyDescent="0.25">
      <c r="A2051" s="7" t="s">
        <v>376</v>
      </c>
      <c r="B2051" t="str">
        <f>_xlfn.BASE(MOD(_xlfn.DECIMAL(C2049,2) + _xlfn.DECIMAL(E2049,2), 4294967296), 2, 32)</f>
        <v>11000110100101100001110111100100</v>
      </c>
      <c r="C2051" s="28"/>
      <c r="D2051" s="26"/>
      <c r="E2051" s="7"/>
    </row>
    <row r="2052" spans="1:13" x14ac:dyDescent="0.25">
      <c r="A2052" s="7" t="s">
        <v>375</v>
      </c>
      <c r="B2052" t="str" cm="1">
        <f t="array" ref="B2052">BitsToHex(B2051)</f>
        <v>C6961DE4</v>
      </c>
    </row>
    <row r="2054" spans="1:13" x14ac:dyDescent="0.25">
      <c r="C2054" s="27" t="s">
        <v>225</v>
      </c>
      <c r="E2054" s="24" t="s">
        <v>8</v>
      </c>
      <c r="F2054" s="24" t="s">
        <v>29</v>
      </c>
      <c r="G2054" s="24" t="s">
        <v>30</v>
      </c>
      <c r="H2054" s="24" t="s">
        <v>31</v>
      </c>
      <c r="I2054" s="24" t="s">
        <v>221</v>
      </c>
      <c r="J2054" s="24" t="s">
        <v>222</v>
      </c>
      <c r="K2054" s="24" t="s">
        <v>34</v>
      </c>
      <c r="L2054" s="24" t="s">
        <v>223</v>
      </c>
    </row>
    <row r="2055" spans="1:13" x14ac:dyDescent="0.25">
      <c r="E2055" s="24" t="str">
        <f>B2052</f>
        <v>C6961DE4</v>
      </c>
      <c r="F2055" s="24" t="str">
        <f>E2023</f>
        <v>D75E05CD</v>
      </c>
      <c r="G2055" s="24" t="str">
        <f>F2023</f>
        <v>EBB3D45D</v>
      </c>
      <c r="H2055" s="24" t="str">
        <f>G2023</f>
        <v>167A59AC</v>
      </c>
      <c r="I2055" s="24" t="str">
        <f>B2046</f>
        <v>A34249A8</v>
      </c>
      <c r="J2055" s="25" t="str">
        <f>I2023</f>
        <v>C1A04B8C</v>
      </c>
      <c r="K2055" s="24" t="str">
        <f>J2023</f>
        <v>53DED14F</v>
      </c>
      <c r="L2055" s="24" t="str">
        <f>K2023</f>
        <v>C5868566</v>
      </c>
    </row>
    <row r="2056" spans="1:13" x14ac:dyDescent="0.25">
      <c r="A2056" s="2"/>
      <c r="B2056" s="2"/>
      <c r="C2056" s="30" t="s">
        <v>379</v>
      </c>
      <c r="D2056" s="2">
        <v>57</v>
      </c>
      <c r="E2056" s="2"/>
      <c r="F2056" s="2"/>
      <c r="G2056" s="2"/>
      <c r="H2056" s="2"/>
      <c r="I2056" s="2"/>
      <c r="J2056" s="2"/>
      <c r="K2056" s="2"/>
      <c r="L2056" s="2"/>
      <c r="M2056" s="2"/>
    </row>
    <row r="2057" spans="1:13" x14ac:dyDescent="0.25">
      <c r="D2057" t="s">
        <v>380</v>
      </c>
      <c r="E2057">
        <f>D2056+1</f>
        <v>58</v>
      </c>
    </row>
    <row r="2058" spans="1:13" x14ac:dyDescent="0.25">
      <c r="C2058" s="27" t="s">
        <v>224</v>
      </c>
      <c r="E2058" s="24" t="s">
        <v>8</v>
      </c>
      <c r="F2058" s="24" t="s">
        <v>29</v>
      </c>
      <c r="G2058" s="24" t="s">
        <v>30</v>
      </c>
      <c r="H2058" s="24" t="s">
        <v>31</v>
      </c>
      <c r="I2058" s="24" t="s">
        <v>221</v>
      </c>
      <c r="J2058" s="24" t="s">
        <v>222</v>
      </c>
      <c r="K2058" s="24" t="s">
        <v>34</v>
      </c>
      <c r="L2058" s="24" t="s">
        <v>223</v>
      </c>
    </row>
    <row r="2059" spans="1:13" x14ac:dyDescent="0.25">
      <c r="E2059" s="24" t="str">
        <f t="shared" ref="E2059:L2059" si="57">E2055</f>
        <v>C6961DE4</v>
      </c>
      <c r="F2059" s="24" t="str">
        <f t="shared" si="57"/>
        <v>D75E05CD</v>
      </c>
      <c r="G2059" s="24" t="str">
        <f t="shared" si="57"/>
        <v>EBB3D45D</v>
      </c>
      <c r="H2059" s="24" t="str">
        <f t="shared" si="57"/>
        <v>167A59AC</v>
      </c>
      <c r="I2059" s="25" t="str">
        <f t="shared" si="57"/>
        <v>A34249A8</v>
      </c>
      <c r="J2059" s="24" t="str">
        <f t="shared" si="57"/>
        <v>C1A04B8C</v>
      </c>
      <c r="K2059" s="24" t="str">
        <f t="shared" si="57"/>
        <v>53DED14F</v>
      </c>
      <c r="L2059" s="24" t="str">
        <f t="shared" si="57"/>
        <v>C5868566</v>
      </c>
    </row>
    <row r="2061" spans="1:13" x14ac:dyDescent="0.25">
      <c r="A2061" s="7" t="s">
        <v>363</v>
      </c>
      <c r="B2061" s="7"/>
      <c r="C2061" s="28" t="s">
        <v>223</v>
      </c>
      <c r="D2061" s="26" t="s">
        <v>183</v>
      </c>
      <c r="E2061" s="8" t="s">
        <v>365</v>
      </c>
      <c r="F2061" s="26" t="s">
        <v>183</v>
      </c>
      <c r="G2061" s="8" t="s">
        <v>366</v>
      </c>
      <c r="H2061" s="26" t="s">
        <v>183</v>
      </c>
      <c r="I2061" s="8" t="s">
        <v>367</v>
      </c>
      <c r="J2061" s="26" t="s">
        <v>183</v>
      </c>
      <c r="K2061" s="8" t="s">
        <v>368</v>
      </c>
    </row>
    <row r="2062" spans="1:13" x14ac:dyDescent="0.25">
      <c r="A2062" s="7"/>
    </row>
    <row r="2063" spans="1:13" x14ac:dyDescent="0.25">
      <c r="A2063" s="7"/>
      <c r="C2063" s="27" t="str">
        <f>L2059</f>
        <v>C5868566</v>
      </c>
      <c r="E2063" t="str" cm="1">
        <f t="array" ref="E2063">BSIG1_H(I2059)</f>
        <v>36BDB53E</v>
      </c>
      <c r="G2063" t="str" cm="1">
        <f t="array" ref="G2063">CH_H(I2059,J2059,K2059)</f>
        <v>D19CD9CF</v>
      </c>
      <c r="I2063" t="str" cm="1">
        <f t="array" ref="I2063">INDEX(Folha3!$C$15:$J$22,IF(MOD(E2057,8)=0,0,1)+INT(E2057/8),1+MOD(E2057-1,8))</f>
        <v>78a5636f</v>
      </c>
      <c r="K2063" t="str" cm="1">
        <f t="array" ref="K2063">INDEX(Folha3!$C$38:$BN$38,1,E2057)</f>
        <v>655B3E91</v>
      </c>
    </row>
    <row r="2064" spans="1:13" x14ac:dyDescent="0.25">
      <c r="A2064" s="7" t="s">
        <v>370</v>
      </c>
      <c r="C2064" s="27" t="str" cm="1">
        <f t="array" ref="C2064">HexToBits(C2063)</f>
        <v>11000101100001101000010101100110</v>
      </c>
      <c r="E2064" t="str" cm="1">
        <f t="array" ref="E2064">HexToBits(E2063)</f>
        <v>00110110101111011011010100111110</v>
      </c>
      <c r="G2064" t="str" cm="1">
        <f t="array" ref="G2064">HexToBits(G2063)</f>
        <v>11010001100111001101100111001111</v>
      </c>
      <c r="I2064" t="str" cm="1">
        <f t="array" ref="I2064">HexToBits(I2063)</f>
        <v>01111000101001010110001101101111</v>
      </c>
      <c r="K2064" t="str" cm="1">
        <f t="array" ref="K2064">HexToBits(K2063)</f>
        <v>01100101010110110011111010010001</v>
      </c>
    </row>
    <row r="2065" spans="1:12" x14ac:dyDescent="0.25">
      <c r="A2065" s="7"/>
    </row>
    <row r="2066" spans="1:12" x14ac:dyDescent="0.25">
      <c r="A2066" s="7" t="s">
        <v>364</v>
      </c>
      <c r="B2066" t="str">
        <f>_xlfn.BASE(
  (_xlfn.DECIMAL(C2064,2)+_xlfn.DECIMAL(E2064,2)+_xlfn.DECIMAL(G2064,2)+_xlfn.DECIMAL(I2064,2)+_xlfn.DECIMAL(K2064,2))
  - (INT((_xlfn.DECIMAL(C2064,2)+_xlfn.DECIMAL(E2064,2)+_xlfn.DECIMAL(G2064,2)+_xlfn.DECIMAL(I2064,2)+_xlfn.DECIMAL(K2064,2)) / 4294967296) * 4294967296),
  2,
  32
)</f>
        <v>10101011111000011011011001110011</v>
      </c>
    </row>
    <row r="2067" spans="1:12" x14ac:dyDescent="0.25">
      <c r="A2067" s="7" t="s">
        <v>369</v>
      </c>
      <c r="B2067" t="str" cm="1">
        <f t="array" ref="B2067">BitsToHex(B2066)</f>
        <v>ABE1B673</v>
      </c>
    </row>
    <row r="2070" spans="1:12" x14ac:dyDescent="0.25">
      <c r="A2070" s="7" t="s">
        <v>373</v>
      </c>
      <c r="B2070" s="7"/>
      <c r="C2070" s="29" t="s">
        <v>371</v>
      </c>
      <c r="D2070" s="26" t="s">
        <v>183</v>
      </c>
      <c r="E2070" s="8" t="s">
        <v>372</v>
      </c>
      <c r="J2070" s="32"/>
    </row>
    <row r="2071" spans="1:12" x14ac:dyDescent="0.25">
      <c r="A2071" s="7"/>
    </row>
    <row r="2072" spans="1:12" x14ac:dyDescent="0.25">
      <c r="A2072" s="7"/>
      <c r="C2072" s="27" t="str" cm="1">
        <f t="array" ref="C2072">BSIG0_H(E2059)</f>
        <v>86F420D3</v>
      </c>
      <c r="E2072" t="str" cm="1">
        <f t="array" ref="E2072">MAJ_H(E2059,F2059,G2059)</f>
        <v>C79615CD</v>
      </c>
    </row>
    <row r="2073" spans="1:12" x14ac:dyDescent="0.25">
      <c r="A2073" s="7" t="s">
        <v>370</v>
      </c>
      <c r="C2073" s="27" t="str" cm="1">
        <f t="array" ref="C2073">HexToBits(C2072)</f>
        <v>10000110111101000010000011010011</v>
      </c>
      <c r="E2073" t="str" cm="1">
        <f t="array" ref="E2073">HexToBits(E2072)</f>
        <v>11000111100101100001010111001101</v>
      </c>
    </row>
    <row r="2074" spans="1:12" x14ac:dyDescent="0.25">
      <c r="A2074" s="7"/>
    </row>
    <row r="2075" spans="1:12" x14ac:dyDescent="0.25">
      <c r="A2075" s="7" t="s">
        <v>373</v>
      </c>
      <c r="B2075" t="str">
        <f>_xlfn.BASE(MOD(_xlfn.DECIMAL(C2073,2) + _xlfn.DECIMAL(E2073,2), 4294967296), 2, 32)</f>
        <v>01001110100010100011011010100000</v>
      </c>
    </row>
    <row r="2076" spans="1:12" x14ac:dyDescent="0.25">
      <c r="A2076" s="7" t="s">
        <v>369</v>
      </c>
      <c r="B2076" t="str" cm="1">
        <f t="array" ref="B2076">BitsToHex(B2075)</f>
        <v>4E8A36A0</v>
      </c>
    </row>
    <row r="2077" spans="1:12" x14ac:dyDescent="0.25">
      <c r="A2077" s="7"/>
    </row>
    <row r="2078" spans="1:12" x14ac:dyDescent="0.25">
      <c r="A2078" s="7" t="s">
        <v>374</v>
      </c>
      <c r="C2078" s="28" t="s">
        <v>31</v>
      </c>
      <c r="D2078" s="26" t="s">
        <v>183</v>
      </c>
      <c r="E2078" s="7" t="s">
        <v>227</v>
      </c>
    </row>
    <row r="2079" spans="1:12" x14ac:dyDescent="0.25">
      <c r="A2079" s="7"/>
      <c r="C2079" s="28"/>
      <c r="D2079" s="26"/>
      <c r="E2079" s="7"/>
      <c r="L2079" s="16"/>
    </row>
    <row r="2080" spans="1:12" x14ac:dyDescent="0.25">
      <c r="C2080" s="27" t="str" cm="1">
        <f t="array" ref="C2080">HexToBits(H2059)</f>
        <v>00010110011110100101100110101100</v>
      </c>
      <c r="D2080" s="26"/>
      <c r="E2080" t="str">
        <f>B2066</f>
        <v>10101011111000011011011001110011</v>
      </c>
    </row>
    <row r="2081" spans="1:13" x14ac:dyDescent="0.25">
      <c r="A2081" s="7" t="s">
        <v>374</v>
      </c>
      <c r="B2081" t="str">
        <f>_xlfn.BASE(MOD(_xlfn.DECIMAL(C2080,2) + _xlfn.DECIMAL(E2080,2), 4294967296), 2, 32)</f>
        <v>11000010010111000001000000011111</v>
      </c>
      <c r="D2081" s="16"/>
    </row>
    <row r="2082" spans="1:13" x14ac:dyDescent="0.25">
      <c r="A2082" s="7" t="s">
        <v>375</v>
      </c>
      <c r="B2082" t="str" cm="1">
        <f t="array" ref="B2082">BitsToHex(B2081)</f>
        <v>C25C101F</v>
      </c>
      <c r="C2082" s="28"/>
      <c r="D2082" s="26"/>
      <c r="E2082" s="7"/>
    </row>
    <row r="2083" spans="1:13" x14ac:dyDescent="0.25">
      <c r="A2083" s="7"/>
      <c r="C2083" s="28"/>
      <c r="D2083" s="26"/>
      <c r="E2083" s="7"/>
    </row>
    <row r="2084" spans="1:13" x14ac:dyDescent="0.25">
      <c r="A2084" s="7" t="s">
        <v>376</v>
      </c>
      <c r="C2084" s="28" t="s">
        <v>377</v>
      </c>
      <c r="D2084" s="26" t="s">
        <v>183</v>
      </c>
      <c r="E2084" s="7" t="s">
        <v>378</v>
      </c>
    </row>
    <row r="2085" spans="1:13" x14ac:dyDescent="0.25">
      <c r="A2085" s="7"/>
      <c r="C2085" s="27" t="str">
        <f>B2066</f>
        <v>10101011111000011011011001110011</v>
      </c>
      <c r="D2085" s="16"/>
      <c r="E2085" t="str">
        <f>B2075</f>
        <v>01001110100010100011011010100000</v>
      </c>
    </row>
    <row r="2086" spans="1:13" x14ac:dyDescent="0.25">
      <c r="A2086" s="7"/>
      <c r="C2086" s="28"/>
      <c r="D2086" s="26"/>
      <c r="E2086" s="7"/>
    </row>
    <row r="2087" spans="1:13" x14ac:dyDescent="0.25">
      <c r="A2087" s="7" t="s">
        <v>376</v>
      </c>
      <c r="B2087" t="str">
        <f>_xlfn.BASE(MOD(_xlfn.DECIMAL(C2085,2) + _xlfn.DECIMAL(E2085,2), 4294967296), 2, 32)</f>
        <v>11111010011010111110110100010011</v>
      </c>
      <c r="C2087" s="28"/>
      <c r="D2087" s="26"/>
      <c r="E2087" s="7"/>
    </row>
    <row r="2088" spans="1:13" x14ac:dyDescent="0.25">
      <c r="A2088" s="7" t="s">
        <v>375</v>
      </c>
      <c r="B2088" t="str" cm="1">
        <f t="array" ref="B2088">BitsToHex(B2087)</f>
        <v>FA6BED13</v>
      </c>
    </row>
    <row r="2090" spans="1:13" x14ac:dyDescent="0.25">
      <c r="C2090" s="27" t="s">
        <v>225</v>
      </c>
      <c r="E2090" s="24" t="s">
        <v>8</v>
      </c>
      <c r="F2090" s="24" t="s">
        <v>29</v>
      </c>
      <c r="G2090" s="24" t="s">
        <v>30</v>
      </c>
      <c r="H2090" s="24" t="s">
        <v>31</v>
      </c>
      <c r="I2090" s="24" t="s">
        <v>221</v>
      </c>
      <c r="J2090" s="24" t="s">
        <v>222</v>
      </c>
      <c r="K2090" s="24" t="s">
        <v>34</v>
      </c>
      <c r="L2090" s="24" t="s">
        <v>223</v>
      </c>
    </row>
    <row r="2091" spans="1:13" x14ac:dyDescent="0.25">
      <c r="E2091" s="24" t="str">
        <f>B2088</f>
        <v>FA6BED13</v>
      </c>
      <c r="F2091" s="24" t="str">
        <f>E2059</f>
        <v>C6961DE4</v>
      </c>
      <c r="G2091" s="24" t="str">
        <f>F2059</f>
        <v>D75E05CD</v>
      </c>
      <c r="H2091" s="24" t="str">
        <f>G2059</f>
        <v>EBB3D45D</v>
      </c>
      <c r="I2091" s="24" t="str">
        <f>B2082</f>
        <v>C25C101F</v>
      </c>
      <c r="J2091" s="25" t="str">
        <f>I2059</f>
        <v>A34249A8</v>
      </c>
      <c r="K2091" s="24" t="str">
        <f>J2059</f>
        <v>C1A04B8C</v>
      </c>
      <c r="L2091" s="24" t="str">
        <f>K2059</f>
        <v>53DED14F</v>
      </c>
    </row>
    <row r="2092" spans="1:13" x14ac:dyDescent="0.25">
      <c r="A2092" s="2"/>
      <c r="B2092" s="2"/>
      <c r="C2092" s="30" t="s">
        <v>379</v>
      </c>
      <c r="D2092" s="2">
        <v>58</v>
      </c>
      <c r="E2092" s="2"/>
      <c r="F2092" s="2"/>
      <c r="G2092" s="2"/>
      <c r="H2092" s="2"/>
      <c r="I2092" s="2"/>
      <c r="J2092" s="2"/>
      <c r="K2092" s="2"/>
      <c r="L2092" s="2"/>
      <c r="M2092" s="2"/>
    </row>
    <row r="2093" spans="1:13" x14ac:dyDescent="0.25">
      <c r="D2093" t="s">
        <v>380</v>
      </c>
      <c r="E2093">
        <f>D2092+1</f>
        <v>59</v>
      </c>
    </row>
    <row r="2094" spans="1:13" x14ac:dyDescent="0.25">
      <c r="C2094" s="27" t="s">
        <v>224</v>
      </c>
      <c r="E2094" s="24" t="s">
        <v>8</v>
      </c>
      <c r="F2094" s="24" t="s">
        <v>29</v>
      </c>
      <c r="G2094" s="24" t="s">
        <v>30</v>
      </c>
      <c r="H2094" s="24" t="s">
        <v>31</v>
      </c>
      <c r="I2094" s="24" t="s">
        <v>221</v>
      </c>
      <c r="J2094" s="24" t="s">
        <v>222</v>
      </c>
      <c r="K2094" s="24" t="s">
        <v>34</v>
      </c>
      <c r="L2094" s="24" t="s">
        <v>223</v>
      </c>
    </row>
    <row r="2095" spans="1:13" x14ac:dyDescent="0.25">
      <c r="E2095" s="24" t="str">
        <f t="shared" ref="E2095:L2095" si="58">E2091</f>
        <v>FA6BED13</v>
      </c>
      <c r="F2095" s="24" t="str">
        <f t="shared" si="58"/>
        <v>C6961DE4</v>
      </c>
      <c r="G2095" s="24" t="str">
        <f t="shared" si="58"/>
        <v>D75E05CD</v>
      </c>
      <c r="H2095" s="24" t="str">
        <f t="shared" si="58"/>
        <v>EBB3D45D</v>
      </c>
      <c r="I2095" s="25" t="str">
        <f t="shared" si="58"/>
        <v>C25C101F</v>
      </c>
      <c r="J2095" s="24" t="str">
        <f t="shared" si="58"/>
        <v>A34249A8</v>
      </c>
      <c r="K2095" s="24" t="str">
        <f t="shared" si="58"/>
        <v>C1A04B8C</v>
      </c>
      <c r="L2095" s="24" t="str">
        <f t="shared" si="58"/>
        <v>53DED14F</v>
      </c>
    </row>
    <row r="2097" spans="1:11" x14ac:dyDescent="0.25">
      <c r="A2097" s="7" t="s">
        <v>363</v>
      </c>
      <c r="B2097" s="7"/>
      <c r="C2097" s="28" t="s">
        <v>223</v>
      </c>
      <c r="D2097" s="26" t="s">
        <v>183</v>
      </c>
      <c r="E2097" s="8" t="s">
        <v>365</v>
      </c>
      <c r="F2097" s="26" t="s">
        <v>183</v>
      </c>
      <c r="G2097" s="8" t="s">
        <v>366</v>
      </c>
      <c r="H2097" s="26" t="s">
        <v>183</v>
      </c>
      <c r="I2097" s="8" t="s">
        <v>367</v>
      </c>
      <c r="J2097" s="26" t="s">
        <v>183</v>
      </c>
      <c r="K2097" s="8" t="s">
        <v>368</v>
      </c>
    </row>
    <row r="2098" spans="1:11" x14ac:dyDescent="0.25">
      <c r="A2098" s="7"/>
    </row>
    <row r="2099" spans="1:11" x14ac:dyDescent="0.25">
      <c r="A2099" s="7"/>
      <c r="C2099" s="27" t="str">
        <f>L2095</f>
        <v>53DED14F</v>
      </c>
      <c r="E2099" t="str" cm="1">
        <f t="array" ref="E2099">BSIG1_H(I2095)</f>
        <v>52F93423</v>
      </c>
      <c r="G2099" t="str" cm="1">
        <f t="array" ref="G2099">CH_H(I2095,J2095,K2095)</f>
        <v>83E04B88</v>
      </c>
      <c r="I2099" t="str" cm="1">
        <f t="array" ref="I2099">INDEX(Folha3!$C$15:$J$22,IF(MOD(E2093,8)=0,0,1)+INT(E2093/8),1+MOD(E2093-1,8))</f>
        <v>84c87814</v>
      </c>
      <c r="K2099" t="str" cm="1">
        <f t="array" ref="K2099">INDEX(Folha3!$C$38:$BN$38,1,E2093)</f>
        <v>2F46EAC5</v>
      </c>
    </row>
    <row r="2100" spans="1:11" x14ac:dyDescent="0.25">
      <c r="A2100" s="7" t="s">
        <v>370</v>
      </c>
      <c r="C2100" s="27" t="str" cm="1">
        <f t="array" ref="C2100">HexToBits(C2099)</f>
        <v>01010011110111101101000101001111</v>
      </c>
      <c r="E2100" t="str" cm="1">
        <f t="array" ref="E2100">HexToBits(E2099)</f>
        <v>01010010111110010011010000100011</v>
      </c>
      <c r="G2100" t="str" cm="1">
        <f t="array" ref="G2100">HexToBits(G2099)</f>
        <v>10000011111000000100101110001000</v>
      </c>
      <c r="I2100" t="str" cm="1">
        <f t="array" ref="I2100">HexToBits(I2099)</f>
        <v>10000100110010000111100000010100</v>
      </c>
      <c r="K2100" t="str" cm="1">
        <f t="array" ref="K2100">HexToBits(K2099)</f>
        <v>00101111010001101110101011000101</v>
      </c>
    </row>
    <row r="2101" spans="1:11" x14ac:dyDescent="0.25">
      <c r="A2101" s="7"/>
    </row>
    <row r="2102" spans="1:11" x14ac:dyDescent="0.25">
      <c r="A2102" s="7" t="s">
        <v>364</v>
      </c>
      <c r="B2102" t="str">
        <f>_xlfn.BASE(
  (_xlfn.DECIMAL(C2100,2)+_xlfn.DECIMAL(E2100,2)+_xlfn.DECIMAL(G2100,2)+_xlfn.DECIMAL(I2100,2)+_xlfn.DECIMAL(K2100,2))
  - (INT((_xlfn.DECIMAL(C2100,2)+_xlfn.DECIMAL(E2100,2)+_xlfn.DECIMAL(G2100,2)+_xlfn.DECIMAL(I2100,2)+_xlfn.DECIMAL(K2100,2)) / 4294967296) * 4294967296),
  2,
  32
)</f>
        <v>11011110110001111011001111010011</v>
      </c>
    </row>
    <row r="2103" spans="1:11" x14ac:dyDescent="0.25">
      <c r="A2103" s="7" t="s">
        <v>369</v>
      </c>
      <c r="B2103" t="str" cm="1">
        <f t="array" ref="B2103">BitsToHex(B2102)</f>
        <v>DEC7B3D3</v>
      </c>
    </row>
    <row r="2106" spans="1:11" x14ac:dyDescent="0.25">
      <c r="A2106" s="7" t="s">
        <v>373</v>
      </c>
      <c r="B2106" s="7"/>
      <c r="C2106" s="29" t="s">
        <v>371</v>
      </c>
      <c r="D2106" s="26" t="s">
        <v>183</v>
      </c>
      <c r="E2106" s="8" t="s">
        <v>372</v>
      </c>
      <c r="J2106" s="32"/>
    </row>
    <row r="2107" spans="1:11" x14ac:dyDescent="0.25">
      <c r="A2107" s="7"/>
    </row>
    <row r="2108" spans="1:11" x14ac:dyDescent="0.25">
      <c r="A2108" s="7"/>
      <c r="C2108" s="27" t="str" cm="1">
        <f t="array" ref="C2108">BSIG0_H(E2095)</f>
        <v>39B167F2</v>
      </c>
      <c r="E2108" t="str" cm="1">
        <f t="array" ref="E2108">MAJ_H(E2095,F2095,G2095)</f>
        <v>D65E0DC5</v>
      </c>
    </row>
    <row r="2109" spans="1:11" x14ac:dyDescent="0.25">
      <c r="A2109" s="7" t="s">
        <v>370</v>
      </c>
      <c r="C2109" s="27" t="str" cm="1">
        <f t="array" ref="C2109">HexToBits(C2108)</f>
        <v>00111001101100010110011111110010</v>
      </c>
      <c r="E2109" t="str" cm="1">
        <f t="array" ref="E2109">HexToBits(E2108)</f>
        <v>11010110010111100000110111000101</v>
      </c>
    </row>
    <row r="2110" spans="1:11" x14ac:dyDescent="0.25">
      <c r="A2110" s="7"/>
    </row>
    <row r="2111" spans="1:11" x14ac:dyDescent="0.25">
      <c r="A2111" s="7" t="s">
        <v>373</v>
      </c>
      <c r="B2111" t="str">
        <f>_xlfn.BASE(MOD(_xlfn.DECIMAL(C2109,2) + _xlfn.DECIMAL(E2109,2), 4294967296), 2, 32)</f>
        <v>00010000000011110111010110110111</v>
      </c>
    </row>
    <row r="2112" spans="1:11" x14ac:dyDescent="0.25">
      <c r="A2112" s="7" t="s">
        <v>369</v>
      </c>
      <c r="B2112" t="str" cm="1">
        <f t="array" ref="B2112">BitsToHex(B2111)</f>
        <v>100F75B7</v>
      </c>
    </row>
    <row r="2113" spans="1:13" x14ac:dyDescent="0.25">
      <c r="A2113" s="7"/>
    </row>
    <row r="2114" spans="1:13" x14ac:dyDescent="0.25">
      <c r="A2114" s="7" t="s">
        <v>374</v>
      </c>
      <c r="C2114" s="28" t="s">
        <v>31</v>
      </c>
      <c r="D2114" s="26" t="s">
        <v>183</v>
      </c>
      <c r="E2114" s="7" t="s">
        <v>227</v>
      </c>
    </row>
    <row r="2115" spans="1:13" x14ac:dyDescent="0.25">
      <c r="A2115" s="7"/>
      <c r="C2115" s="28"/>
      <c r="D2115" s="26"/>
      <c r="E2115" s="7"/>
      <c r="L2115" s="16"/>
    </row>
    <row r="2116" spans="1:13" x14ac:dyDescent="0.25">
      <c r="C2116" s="27" t="str" cm="1">
        <f t="array" ref="C2116">HexToBits(H2095)</f>
        <v>11101011101100111101010001011101</v>
      </c>
      <c r="D2116" s="26"/>
      <c r="E2116" t="str">
        <f>B2102</f>
        <v>11011110110001111011001111010011</v>
      </c>
    </row>
    <row r="2117" spans="1:13" x14ac:dyDescent="0.25">
      <c r="A2117" s="7" t="s">
        <v>374</v>
      </c>
      <c r="B2117" t="str">
        <f>_xlfn.BASE(MOD(_xlfn.DECIMAL(C2116,2) + _xlfn.DECIMAL(E2116,2), 4294967296), 2, 32)</f>
        <v>11001010011110111000100000110000</v>
      </c>
      <c r="D2117" s="16"/>
    </row>
    <row r="2118" spans="1:13" x14ac:dyDescent="0.25">
      <c r="A2118" s="7" t="s">
        <v>375</v>
      </c>
      <c r="B2118" t="str" cm="1">
        <f t="array" ref="B2118">BitsToHex(B2117)</f>
        <v>CA7B8830</v>
      </c>
      <c r="C2118" s="28"/>
      <c r="D2118" s="26"/>
      <c r="E2118" s="7"/>
    </row>
    <row r="2119" spans="1:13" x14ac:dyDescent="0.25">
      <c r="A2119" s="7"/>
      <c r="C2119" s="28"/>
      <c r="D2119" s="26"/>
      <c r="E2119" s="7"/>
    </row>
    <row r="2120" spans="1:13" x14ac:dyDescent="0.25">
      <c r="A2120" s="7" t="s">
        <v>376</v>
      </c>
      <c r="C2120" s="28" t="s">
        <v>377</v>
      </c>
      <c r="D2120" s="26" t="s">
        <v>183</v>
      </c>
      <c r="E2120" s="7" t="s">
        <v>378</v>
      </c>
    </row>
    <row r="2121" spans="1:13" x14ac:dyDescent="0.25">
      <c r="A2121" s="7"/>
      <c r="C2121" s="27" t="str">
        <f>B2102</f>
        <v>11011110110001111011001111010011</v>
      </c>
      <c r="D2121" s="16"/>
      <c r="E2121" t="str">
        <f>B2111</f>
        <v>00010000000011110111010110110111</v>
      </c>
    </row>
    <row r="2122" spans="1:13" x14ac:dyDescent="0.25">
      <c r="A2122" s="7"/>
      <c r="C2122" s="28"/>
      <c r="D2122" s="26"/>
      <c r="E2122" s="7"/>
    </row>
    <row r="2123" spans="1:13" x14ac:dyDescent="0.25">
      <c r="A2123" s="7" t="s">
        <v>376</v>
      </c>
      <c r="B2123" t="str">
        <f>_xlfn.BASE(MOD(_xlfn.DECIMAL(C2121,2) + _xlfn.DECIMAL(E2121,2), 4294967296), 2, 32)</f>
        <v>11101110110101110010100110001010</v>
      </c>
      <c r="C2123" s="28"/>
      <c r="D2123" s="26"/>
      <c r="E2123" s="7"/>
    </row>
    <row r="2124" spans="1:13" x14ac:dyDescent="0.25">
      <c r="A2124" s="7" t="s">
        <v>375</v>
      </c>
      <c r="B2124" t="str" cm="1">
        <f t="array" ref="B2124">BitsToHex(B2123)</f>
        <v>EED7298A</v>
      </c>
    </row>
    <row r="2126" spans="1:13" x14ac:dyDescent="0.25">
      <c r="C2126" s="27" t="s">
        <v>225</v>
      </c>
      <c r="E2126" s="24" t="s">
        <v>8</v>
      </c>
      <c r="F2126" s="24" t="s">
        <v>29</v>
      </c>
      <c r="G2126" s="24" t="s">
        <v>30</v>
      </c>
      <c r="H2126" s="24" t="s">
        <v>31</v>
      </c>
      <c r="I2126" s="24" t="s">
        <v>221</v>
      </c>
      <c r="J2126" s="24" t="s">
        <v>222</v>
      </c>
      <c r="K2126" s="24" t="s">
        <v>34</v>
      </c>
      <c r="L2126" s="24" t="s">
        <v>223</v>
      </c>
    </row>
    <row r="2127" spans="1:13" x14ac:dyDescent="0.25">
      <c r="E2127" s="24" t="str">
        <f>B2124</f>
        <v>EED7298A</v>
      </c>
      <c r="F2127" s="24" t="str">
        <f>E2095</f>
        <v>FA6BED13</v>
      </c>
      <c r="G2127" s="24" t="str">
        <f>F2095</f>
        <v>C6961DE4</v>
      </c>
      <c r="H2127" s="24" t="str">
        <f>G2095</f>
        <v>D75E05CD</v>
      </c>
      <c r="I2127" s="24" t="str">
        <f>B2118</f>
        <v>CA7B8830</v>
      </c>
      <c r="J2127" s="25" t="str">
        <f>I2095</f>
        <v>C25C101F</v>
      </c>
      <c r="K2127" s="24" t="str">
        <f>J2095</f>
        <v>A34249A8</v>
      </c>
      <c r="L2127" s="24" t="str">
        <f>K2095</f>
        <v>C1A04B8C</v>
      </c>
    </row>
    <row r="2128" spans="1:13" x14ac:dyDescent="0.25">
      <c r="A2128" s="2"/>
      <c r="B2128" s="2"/>
      <c r="C2128" s="30" t="s">
        <v>379</v>
      </c>
      <c r="D2128" s="2">
        <v>59</v>
      </c>
      <c r="E2128" s="2"/>
      <c r="F2128" s="2"/>
      <c r="G2128" s="2"/>
      <c r="H2128" s="2"/>
      <c r="I2128" s="2"/>
      <c r="J2128" s="2"/>
      <c r="K2128" s="2"/>
      <c r="L2128" s="2"/>
      <c r="M2128" s="2"/>
    </row>
    <row r="2129" spans="1:12" x14ac:dyDescent="0.25">
      <c r="D2129" t="s">
        <v>380</v>
      </c>
      <c r="E2129">
        <f>D2128+1</f>
        <v>60</v>
      </c>
    </row>
    <row r="2130" spans="1:12" x14ac:dyDescent="0.25">
      <c r="C2130" s="27" t="s">
        <v>224</v>
      </c>
      <c r="E2130" s="24" t="s">
        <v>8</v>
      </c>
      <c r="F2130" s="24" t="s">
        <v>29</v>
      </c>
      <c r="G2130" s="24" t="s">
        <v>30</v>
      </c>
      <c r="H2130" s="24" t="s">
        <v>31</v>
      </c>
      <c r="I2130" s="24" t="s">
        <v>221</v>
      </c>
      <c r="J2130" s="24" t="s">
        <v>222</v>
      </c>
      <c r="K2130" s="24" t="s">
        <v>34</v>
      </c>
      <c r="L2130" s="24" t="s">
        <v>223</v>
      </c>
    </row>
    <row r="2131" spans="1:12" x14ac:dyDescent="0.25">
      <c r="E2131" s="24" t="str">
        <f t="shared" ref="E2131:L2131" si="59">E2127</f>
        <v>EED7298A</v>
      </c>
      <c r="F2131" s="24" t="str">
        <f t="shared" si="59"/>
        <v>FA6BED13</v>
      </c>
      <c r="G2131" s="24" t="str">
        <f t="shared" si="59"/>
        <v>C6961DE4</v>
      </c>
      <c r="H2131" s="24" t="str">
        <f t="shared" si="59"/>
        <v>D75E05CD</v>
      </c>
      <c r="I2131" s="25" t="str">
        <f t="shared" si="59"/>
        <v>CA7B8830</v>
      </c>
      <c r="J2131" s="24" t="str">
        <f t="shared" si="59"/>
        <v>C25C101F</v>
      </c>
      <c r="K2131" s="24" t="str">
        <f t="shared" si="59"/>
        <v>A34249A8</v>
      </c>
      <c r="L2131" s="24" t="str">
        <f t="shared" si="59"/>
        <v>C1A04B8C</v>
      </c>
    </row>
    <row r="2133" spans="1:12" x14ac:dyDescent="0.25">
      <c r="A2133" s="7" t="s">
        <v>363</v>
      </c>
      <c r="B2133" s="7"/>
      <c r="C2133" s="28" t="s">
        <v>223</v>
      </c>
      <c r="D2133" s="26" t="s">
        <v>183</v>
      </c>
      <c r="E2133" s="8" t="s">
        <v>365</v>
      </c>
      <c r="F2133" s="26" t="s">
        <v>183</v>
      </c>
      <c r="G2133" s="8" t="s">
        <v>366</v>
      </c>
      <c r="H2133" s="26" t="s">
        <v>183</v>
      </c>
      <c r="I2133" s="8" t="s">
        <v>367</v>
      </c>
      <c r="J2133" s="26" t="s">
        <v>183</v>
      </c>
      <c r="K2133" s="8" t="s">
        <v>368</v>
      </c>
    </row>
    <row r="2134" spans="1:12" x14ac:dyDescent="0.25">
      <c r="A2134" s="7"/>
    </row>
    <row r="2135" spans="1:12" x14ac:dyDescent="0.25">
      <c r="A2135" s="7"/>
      <c r="C2135" s="27" t="str">
        <f>L2131</f>
        <v>C1A04B8C</v>
      </c>
      <c r="E2135" t="str" cm="1">
        <f t="array" ref="E2135">BSIG1_H(I2131)</f>
        <v>F8F4B934</v>
      </c>
      <c r="G2135" t="str" cm="1">
        <f t="array" ref="G2135">CH_H(I2131,J2131,K2131)</f>
        <v>E3584198</v>
      </c>
      <c r="I2135" t="str" cm="1">
        <f t="array" ref="I2135">INDEX(Folha3!$C$15:$J$22,IF(MOD(E2129,8)=0,0,1)+INT(E2129/8),1+MOD(E2129-1,8))</f>
        <v>8cc70208</v>
      </c>
      <c r="K2135" t="str" cm="1">
        <f t="array" ref="K2135">INDEX(Folha3!$C$38:$BN$38,1,E2129)</f>
        <v>105123B0</v>
      </c>
    </row>
    <row r="2136" spans="1:12" x14ac:dyDescent="0.25">
      <c r="A2136" s="7" t="s">
        <v>370</v>
      </c>
      <c r="C2136" s="27" t="str" cm="1">
        <f t="array" ref="C2136">HexToBits(C2135)</f>
        <v>11000001101000000100101110001100</v>
      </c>
      <c r="E2136" t="str" cm="1">
        <f t="array" ref="E2136">HexToBits(E2135)</f>
        <v>11111000111101001011100100110100</v>
      </c>
      <c r="G2136" t="str" cm="1">
        <f t="array" ref="G2136">HexToBits(G2135)</f>
        <v>11100011010110000100000110011000</v>
      </c>
      <c r="I2136" t="str" cm="1">
        <f t="array" ref="I2136">HexToBits(I2135)</f>
        <v>10001100110001110000001000001000</v>
      </c>
      <c r="K2136" t="str" cm="1">
        <f t="array" ref="K2136">HexToBits(K2135)</f>
        <v>00010000010100010010001110110000</v>
      </c>
    </row>
    <row r="2137" spans="1:12" x14ac:dyDescent="0.25">
      <c r="A2137" s="7"/>
    </row>
    <row r="2138" spans="1:12" x14ac:dyDescent="0.25">
      <c r="A2138" s="7" t="s">
        <v>364</v>
      </c>
      <c r="B2138" t="str">
        <f>_xlfn.BASE(
  (_xlfn.DECIMAL(C2136,2)+_xlfn.DECIMAL(E2136,2)+_xlfn.DECIMAL(G2136,2)+_xlfn.DECIMAL(I2136,2)+_xlfn.DECIMAL(K2136,2))
  - (INT((_xlfn.DECIMAL(C2136,2)+_xlfn.DECIMAL(E2136,2)+_xlfn.DECIMAL(G2136,2)+_xlfn.DECIMAL(I2136,2)+_xlfn.DECIMAL(K2136,2)) / 4294967296) * 4294967296),
  2,
  32
)</f>
        <v>00111011000001010110110000010000</v>
      </c>
    </row>
    <row r="2139" spans="1:12" x14ac:dyDescent="0.25">
      <c r="A2139" s="7" t="s">
        <v>369</v>
      </c>
      <c r="B2139" t="str" cm="1">
        <f t="array" ref="B2139">BitsToHex(B2138)</f>
        <v>3B056C10</v>
      </c>
    </row>
    <row r="2142" spans="1:12" x14ac:dyDescent="0.25">
      <c r="A2142" s="7" t="s">
        <v>373</v>
      </c>
      <c r="B2142" s="7"/>
      <c r="C2142" s="29" t="s">
        <v>371</v>
      </c>
      <c r="D2142" s="26" t="s">
        <v>183</v>
      </c>
      <c r="E2142" s="8" t="s">
        <v>372</v>
      </c>
      <c r="J2142" s="32"/>
    </row>
    <row r="2143" spans="1:12" x14ac:dyDescent="0.25">
      <c r="A2143" s="7"/>
    </row>
    <row r="2144" spans="1:12" x14ac:dyDescent="0.25">
      <c r="A2144" s="7"/>
      <c r="C2144" s="27" t="str" cm="1">
        <f t="array" ref="C2144">BSIG0_H(E2131)</f>
        <v>AB449760</v>
      </c>
      <c r="E2144" t="str" cm="1">
        <f t="array" ref="E2144">MAJ_H(E2131,F2131,G2131)</f>
        <v>EED72D82</v>
      </c>
    </row>
    <row r="2145" spans="1:12" x14ac:dyDescent="0.25">
      <c r="A2145" s="7" t="s">
        <v>370</v>
      </c>
      <c r="C2145" s="27" t="str" cm="1">
        <f t="array" ref="C2145">HexToBits(C2144)</f>
        <v>10101011010001001001011101100000</v>
      </c>
      <c r="E2145" t="str" cm="1">
        <f t="array" ref="E2145">HexToBits(E2144)</f>
        <v>11101110110101110010110110000010</v>
      </c>
    </row>
    <row r="2146" spans="1:12" x14ac:dyDescent="0.25">
      <c r="A2146" s="7"/>
    </row>
    <row r="2147" spans="1:12" x14ac:dyDescent="0.25">
      <c r="A2147" s="7" t="s">
        <v>373</v>
      </c>
      <c r="B2147" t="str">
        <f>_xlfn.BASE(MOD(_xlfn.DECIMAL(C2145,2) + _xlfn.DECIMAL(E2145,2), 4294967296), 2, 32)</f>
        <v>10011010000110111100010011100010</v>
      </c>
    </row>
    <row r="2148" spans="1:12" x14ac:dyDescent="0.25">
      <c r="A2148" s="7" t="s">
        <v>369</v>
      </c>
      <c r="B2148" t="str" cm="1">
        <f t="array" ref="B2148">BitsToHex(B2147)</f>
        <v>9A1BC4E2</v>
      </c>
    </row>
    <row r="2149" spans="1:12" x14ac:dyDescent="0.25">
      <c r="A2149" s="7"/>
    </row>
    <row r="2150" spans="1:12" x14ac:dyDescent="0.25">
      <c r="A2150" s="7" t="s">
        <v>374</v>
      </c>
      <c r="C2150" s="28" t="s">
        <v>31</v>
      </c>
      <c r="D2150" s="26" t="s">
        <v>183</v>
      </c>
      <c r="E2150" s="7" t="s">
        <v>227</v>
      </c>
    </row>
    <row r="2151" spans="1:12" x14ac:dyDescent="0.25">
      <c r="A2151" s="7"/>
      <c r="C2151" s="28"/>
      <c r="D2151" s="26"/>
      <c r="E2151" s="7"/>
      <c r="L2151" s="16"/>
    </row>
    <row r="2152" spans="1:12" x14ac:dyDescent="0.25">
      <c r="C2152" s="27" t="str" cm="1">
        <f t="array" ref="C2152">HexToBits(H2131)</f>
        <v>11010111010111100000010111001101</v>
      </c>
      <c r="D2152" s="26"/>
      <c r="E2152" t="str">
        <f>B2138</f>
        <v>00111011000001010110110000010000</v>
      </c>
    </row>
    <row r="2153" spans="1:12" x14ac:dyDescent="0.25">
      <c r="A2153" s="7" t="s">
        <v>374</v>
      </c>
      <c r="B2153" t="str">
        <f>_xlfn.BASE(MOD(_xlfn.DECIMAL(C2152,2) + _xlfn.DECIMAL(E2152,2), 4294967296), 2, 32)</f>
        <v>00010010011000110111000111011101</v>
      </c>
      <c r="D2153" s="16"/>
    </row>
    <row r="2154" spans="1:12" x14ac:dyDescent="0.25">
      <c r="A2154" s="7" t="s">
        <v>375</v>
      </c>
      <c r="B2154" t="str" cm="1">
        <f t="array" ref="B2154">BitsToHex(B2153)</f>
        <v>126371DD</v>
      </c>
      <c r="C2154" s="28"/>
      <c r="D2154" s="26"/>
      <c r="E2154" s="7"/>
    </row>
    <row r="2155" spans="1:12" x14ac:dyDescent="0.25">
      <c r="A2155" s="7"/>
      <c r="C2155" s="28"/>
      <c r="D2155" s="26"/>
      <c r="E2155" s="7"/>
    </row>
    <row r="2156" spans="1:12" x14ac:dyDescent="0.25">
      <c r="A2156" s="7" t="s">
        <v>376</v>
      </c>
      <c r="C2156" s="28" t="s">
        <v>377</v>
      </c>
      <c r="D2156" s="26" t="s">
        <v>183</v>
      </c>
      <c r="E2156" s="7" t="s">
        <v>378</v>
      </c>
    </row>
    <row r="2157" spans="1:12" x14ac:dyDescent="0.25">
      <c r="A2157" s="7"/>
      <c r="C2157" s="27" t="str">
        <f>B2138</f>
        <v>00111011000001010110110000010000</v>
      </c>
      <c r="D2157" s="16"/>
      <c r="E2157" t="str">
        <f>B2147</f>
        <v>10011010000110111100010011100010</v>
      </c>
    </row>
    <row r="2158" spans="1:12" x14ac:dyDescent="0.25">
      <c r="A2158" s="7"/>
      <c r="C2158" s="28"/>
      <c r="D2158" s="26"/>
      <c r="E2158" s="7"/>
    </row>
    <row r="2159" spans="1:12" x14ac:dyDescent="0.25">
      <c r="A2159" s="7" t="s">
        <v>376</v>
      </c>
      <c r="B2159" t="str">
        <f>_xlfn.BASE(MOD(_xlfn.DECIMAL(C2157,2) + _xlfn.DECIMAL(E2157,2), 4294967296), 2, 32)</f>
        <v>11010101001000010011000011110010</v>
      </c>
      <c r="C2159" s="28"/>
      <c r="D2159" s="26"/>
      <c r="E2159" s="7"/>
    </row>
    <row r="2160" spans="1:12" x14ac:dyDescent="0.25">
      <c r="A2160" s="7" t="s">
        <v>375</v>
      </c>
      <c r="B2160" t="str" cm="1">
        <f t="array" ref="B2160">BitsToHex(B2159)</f>
        <v>D52130F2</v>
      </c>
    </row>
    <row r="2162" spans="1:13" x14ac:dyDescent="0.25">
      <c r="C2162" s="27" t="s">
        <v>225</v>
      </c>
      <c r="E2162" s="24" t="s">
        <v>8</v>
      </c>
      <c r="F2162" s="24" t="s">
        <v>29</v>
      </c>
      <c r="G2162" s="24" t="s">
        <v>30</v>
      </c>
      <c r="H2162" s="24" t="s">
        <v>31</v>
      </c>
      <c r="I2162" s="24" t="s">
        <v>221</v>
      </c>
      <c r="J2162" s="24" t="s">
        <v>222</v>
      </c>
      <c r="K2162" s="24" t="s">
        <v>34</v>
      </c>
      <c r="L2162" s="24" t="s">
        <v>223</v>
      </c>
    </row>
    <row r="2163" spans="1:13" x14ac:dyDescent="0.25">
      <c r="E2163" s="24" t="str">
        <f>B2160</f>
        <v>D52130F2</v>
      </c>
      <c r="F2163" s="24" t="str">
        <f>E2131</f>
        <v>EED7298A</v>
      </c>
      <c r="G2163" s="24" t="str">
        <f>F2131</f>
        <v>FA6BED13</v>
      </c>
      <c r="H2163" s="24" t="str">
        <f>G2131</f>
        <v>C6961DE4</v>
      </c>
      <c r="I2163" s="24" t="str">
        <f>B2154</f>
        <v>126371DD</v>
      </c>
      <c r="J2163" s="25" t="str">
        <f>I2131</f>
        <v>CA7B8830</v>
      </c>
      <c r="K2163" s="24" t="str">
        <f>J2131</f>
        <v>C25C101F</v>
      </c>
      <c r="L2163" s="24" t="str">
        <f>K2131</f>
        <v>A34249A8</v>
      </c>
    </row>
    <row r="2164" spans="1:13" x14ac:dyDescent="0.25">
      <c r="A2164" s="2"/>
      <c r="B2164" s="2"/>
      <c r="C2164" s="30" t="s">
        <v>379</v>
      </c>
      <c r="D2164" s="2">
        <v>60</v>
      </c>
      <c r="E2164" s="2"/>
      <c r="F2164" s="2"/>
      <c r="G2164" s="2"/>
      <c r="H2164" s="2"/>
      <c r="I2164" s="2"/>
      <c r="J2164" s="2"/>
      <c r="K2164" s="2"/>
      <c r="L2164" s="2"/>
      <c r="M2164" s="2"/>
    </row>
    <row r="2165" spans="1:13" x14ac:dyDescent="0.25">
      <c r="D2165" t="s">
        <v>380</v>
      </c>
      <c r="E2165">
        <f>D2164+1</f>
        <v>61</v>
      </c>
    </row>
    <row r="2166" spans="1:13" x14ac:dyDescent="0.25">
      <c r="C2166" s="27" t="s">
        <v>224</v>
      </c>
      <c r="E2166" s="24" t="s">
        <v>8</v>
      </c>
      <c r="F2166" s="24" t="s">
        <v>29</v>
      </c>
      <c r="G2166" s="24" t="s">
        <v>30</v>
      </c>
      <c r="H2166" s="24" t="s">
        <v>31</v>
      </c>
      <c r="I2166" s="24" t="s">
        <v>221</v>
      </c>
      <c r="J2166" s="24" t="s">
        <v>222</v>
      </c>
      <c r="K2166" s="24" t="s">
        <v>34</v>
      </c>
      <c r="L2166" s="24" t="s">
        <v>223</v>
      </c>
    </row>
    <row r="2167" spans="1:13" x14ac:dyDescent="0.25">
      <c r="E2167" s="24" t="str">
        <f t="shared" ref="E2167:L2167" si="60">E2163</f>
        <v>D52130F2</v>
      </c>
      <c r="F2167" s="24" t="str">
        <f t="shared" si="60"/>
        <v>EED7298A</v>
      </c>
      <c r="G2167" s="24" t="str">
        <f t="shared" si="60"/>
        <v>FA6BED13</v>
      </c>
      <c r="H2167" s="24" t="str">
        <f t="shared" si="60"/>
        <v>C6961DE4</v>
      </c>
      <c r="I2167" s="25" t="str">
        <f t="shared" si="60"/>
        <v>126371DD</v>
      </c>
      <c r="J2167" s="24" t="str">
        <f t="shared" si="60"/>
        <v>CA7B8830</v>
      </c>
      <c r="K2167" s="24" t="str">
        <f t="shared" si="60"/>
        <v>C25C101F</v>
      </c>
      <c r="L2167" s="24" t="str">
        <f t="shared" si="60"/>
        <v>A34249A8</v>
      </c>
    </row>
    <row r="2169" spans="1:13" x14ac:dyDescent="0.25">
      <c r="A2169" s="7" t="s">
        <v>363</v>
      </c>
      <c r="B2169" s="7"/>
      <c r="C2169" s="28" t="s">
        <v>223</v>
      </c>
      <c r="D2169" s="26" t="s">
        <v>183</v>
      </c>
      <c r="E2169" s="8" t="s">
        <v>365</v>
      </c>
      <c r="F2169" s="26" t="s">
        <v>183</v>
      </c>
      <c r="G2169" s="8" t="s">
        <v>366</v>
      </c>
      <c r="H2169" s="26" t="s">
        <v>183</v>
      </c>
      <c r="I2169" s="8" t="s">
        <v>367</v>
      </c>
      <c r="J2169" s="26" t="s">
        <v>183</v>
      </c>
      <c r="K2169" s="8" t="s">
        <v>368</v>
      </c>
    </row>
    <row r="2170" spans="1:13" x14ac:dyDescent="0.25">
      <c r="A2170" s="7"/>
    </row>
    <row r="2171" spans="1:13" x14ac:dyDescent="0.25">
      <c r="A2171" s="7"/>
      <c r="C2171" s="27" t="str">
        <f>L2167</f>
        <v>A34249A8</v>
      </c>
      <c r="E2171" t="str" cm="1">
        <f t="array" ref="E2171">BSIG1_H(I2167)</f>
        <v>7E532F20</v>
      </c>
      <c r="G2171" t="str" cm="1">
        <f t="array" ref="G2171">CH_H(I2167,J2167,K2167)</f>
        <v>C27F0012</v>
      </c>
      <c r="I2171" t="str" cm="1">
        <f t="array" ref="I2171">INDEX(Folha3!$C$15:$J$22,IF(MOD(E2165,8)=0,0,1)+INT(E2165/8),1+MOD(E2165-1,8))</f>
        <v>90befffa</v>
      </c>
      <c r="K2171" t="str" cm="1">
        <f t="array" ref="K2171">INDEX(Folha3!$C$38:$BN$38,1,E2165)</f>
        <v>1EDE9D00</v>
      </c>
    </row>
    <row r="2172" spans="1:13" x14ac:dyDescent="0.25">
      <c r="A2172" s="7" t="s">
        <v>370</v>
      </c>
      <c r="C2172" s="27" t="str" cm="1">
        <f t="array" ref="C2172">HexToBits(C2171)</f>
        <v>10100011010000100100100110101000</v>
      </c>
      <c r="E2172" t="str" cm="1">
        <f t="array" ref="E2172">HexToBits(E2171)</f>
        <v>01111110010100110010111100100000</v>
      </c>
      <c r="G2172" t="str" cm="1">
        <f t="array" ref="G2172">HexToBits(G2171)</f>
        <v>11000010011111110000000000010010</v>
      </c>
      <c r="I2172" t="str" cm="1">
        <f t="array" ref="I2172">HexToBits(I2171)</f>
        <v>10010000101111101111111111111010</v>
      </c>
      <c r="K2172" t="str" cm="1">
        <f t="array" ref="K2172">HexToBits(K2171)</f>
        <v>00011110110111101001110100000000</v>
      </c>
    </row>
    <row r="2173" spans="1:13" x14ac:dyDescent="0.25">
      <c r="A2173" s="7"/>
    </row>
    <row r="2174" spans="1:13" x14ac:dyDescent="0.25">
      <c r="A2174" s="7" t="s">
        <v>364</v>
      </c>
      <c r="B2174" t="str">
        <f>_xlfn.BASE(
  (_xlfn.DECIMAL(C2172,2)+_xlfn.DECIMAL(E2172,2)+_xlfn.DECIMAL(G2172,2)+_xlfn.DECIMAL(I2172,2)+_xlfn.DECIMAL(K2172,2))
  - (INT((_xlfn.DECIMAL(C2172,2)+_xlfn.DECIMAL(E2172,2)+_xlfn.DECIMAL(G2172,2)+_xlfn.DECIMAL(I2172,2)+_xlfn.DECIMAL(K2172,2)) / 4294967296) * 4294967296),
  2,
  32
)</f>
        <v>10010011101100100001010111010100</v>
      </c>
    </row>
    <row r="2175" spans="1:13" x14ac:dyDescent="0.25">
      <c r="A2175" s="7" t="s">
        <v>369</v>
      </c>
      <c r="B2175" t="str" cm="1">
        <f t="array" ref="B2175">BitsToHex(B2174)</f>
        <v>93B215D4</v>
      </c>
    </row>
    <row r="2178" spans="1:12" x14ac:dyDescent="0.25">
      <c r="A2178" s="7" t="s">
        <v>373</v>
      </c>
      <c r="B2178" s="7"/>
      <c r="C2178" s="29" t="s">
        <v>371</v>
      </c>
      <c r="D2178" s="26" t="s">
        <v>183</v>
      </c>
      <c r="E2178" s="8" t="s">
        <v>372</v>
      </c>
      <c r="J2178" s="32"/>
    </row>
    <row r="2179" spans="1:12" x14ac:dyDescent="0.25">
      <c r="A2179" s="7"/>
    </row>
    <row r="2180" spans="1:12" x14ac:dyDescent="0.25">
      <c r="A2180" s="7"/>
      <c r="C2180" s="27" t="str" cm="1">
        <f t="array" ref="C2180">BSIG0_H(E2167)</f>
        <v>B61D2E61</v>
      </c>
      <c r="E2180" t="str" cm="1">
        <f t="array" ref="E2180">MAJ_H(E2167,F2167,G2167)</f>
        <v>FE632992</v>
      </c>
    </row>
    <row r="2181" spans="1:12" x14ac:dyDescent="0.25">
      <c r="A2181" s="7" t="s">
        <v>370</v>
      </c>
      <c r="C2181" s="27" t="str" cm="1">
        <f t="array" ref="C2181">HexToBits(C2180)</f>
        <v>10110110000111010010111001100001</v>
      </c>
      <c r="E2181" t="str" cm="1">
        <f t="array" ref="E2181">HexToBits(E2180)</f>
        <v>11111110011000110010100110010010</v>
      </c>
    </row>
    <row r="2182" spans="1:12" x14ac:dyDescent="0.25">
      <c r="A2182" s="7"/>
    </row>
    <row r="2183" spans="1:12" x14ac:dyDescent="0.25">
      <c r="A2183" s="7" t="s">
        <v>373</v>
      </c>
      <c r="B2183" t="str">
        <f>_xlfn.BASE(MOD(_xlfn.DECIMAL(C2181,2) + _xlfn.DECIMAL(E2181,2), 4294967296), 2, 32)</f>
        <v>10110100100000000101011111110011</v>
      </c>
    </row>
    <row r="2184" spans="1:12" x14ac:dyDescent="0.25">
      <c r="A2184" s="7" t="s">
        <v>369</v>
      </c>
      <c r="B2184" t="str" cm="1">
        <f t="array" ref="B2184">BitsToHex(B2183)</f>
        <v>B48057F3</v>
      </c>
    </row>
    <row r="2185" spans="1:12" x14ac:dyDescent="0.25">
      <c r="A2185" s="7"/>
    </row>
    <row r="2186" spans="1:12" x14ac:dyDescent="0.25">
      <c r="A2186" s="7" t="s">
        <v>374</v>
      </c>
      <c r="C2186" s="28" t="s">
        <v>31</v>
      </c>
      <c r="D2186" s="26" t="s">
        <v>183</v>
      </c>
      <c r="E2186" s="7" t="s">
        <v>227</v>
      </c>
    </row>
    <row r="2187" spans="1:12" x14ac:dyDescent="0.25">
      <c r="A2187" s="7"/>
      <c r="C2187" s="28"/>
      <c r="D2187" s="26"/>
      <c r="E2187" s="7"/>
      <c r="L2187" s="16"/>
    </row>
    <row r="2188" spans="1:12" x14ac:dyDescent="0.25">
      <c r="C2188" s="27" t="str" cm="1">
        <f t="array" ref="C2188">HexToBits(H2167)</f>
        <v>11000110100101100001110111100100</v>
      </c>
      <c r="D2188" s="26"/>
      <c r="E2188" t="str">
        <f>B2174</f>
        <v>10010011101100100001010111010100</v>
      </c>
    </row>
    <row r="2189" spans="1:12" x14ac:dyDescent="0.25">
      <c r="A2189" s="7" t="s">
        <v>374</v>
      </c>
      <c r="B2189" t="str">
        <f>_xlfn.BASE(MOD(_xlfn.DECIMAL(C2188,2) + _xlfn.DECIMAL(E2188,2), 4294967296), 2, 32)</f>
        <v>01011010010010000011001110111000</v>
      </c>
      <c r="D2189" s="16"/>
    </row>
    <row r="2190" spans="1:12" x14ac:dyDescent="0.25">
      <c r="A2190" s="7" t="s">
        <v>375</v>
      </c>
      <c r="B2190" t="str" cm="1">
        <f t="array" ref="B2190">BitsToHex(B2189)</f>
        <v>5A4833B8</v>
      </c>
      <c r="C2190" s="28"/>
      <c r="D2190" s="26"/>
      <c r="E2190" s="7"/>
    </row>
    <row r="2191" spans="1:12" x14ac:dyDescent="0.25">
      <c r="A2191" s="7"/>
      <c r="C2191" s="28"/>
      <c r="D2191" s="26"/>
      <c r="E2191" s="7"/>
    </row>
    <row r="2192" spans="1:12" x14ac:dyDescent="0.25">
      <c r="A2192" s="7" t="s">
        <v>376</v>
      </c>
      <c r="C2192" s="28" t="s">
        <v>377</v>
      </c>
      <c r="D2192" s="26" t="s">
        <v>183</v>
      </c>
      <c r="E2192" s="7" t="s">
        <v>378</v>
      </c>
    </row>
    <row r="2193" spans="1:13" x14ac:dyDescent="0.25">
      <c r="A2193" s="7"/>
      <c r="C2193" s="27" t="str">
        <f>B2174</f>
        <v>10010011101100100001010111010100</v>
      </c>
      <c r="D2193" s="16"/>
      <c r="E2193" t="str">
        <f>B2183</f>
        <v>10110100100000000101011111110011</v>
      </c>
    </row>
    <row r="2194" spans="1:13" x14ac:dyDescent="0.25">
      <c r="A2194" s="7"/>
      <c r="C2194" s="28"/>
      <c r="D2194" s="26"/>
      <c r="E2194" s="7"/>
    </row>
    <row r="2195" spans="1:13" x14ac:dyDescent="0.25">
      <c r="A2195" s="7" t="s">
        <v>376</v>
      </c>
      <c r="B2195" t="str">
        <f>_xlfn.BASE(MOD(_xlfn.DECIMAL(C2193,2) + _xlfn.DECIMAL(E2193,2), 4294967296), 2, 32)</f>
        <v>01001000001100100110110111000111</v>
      </c>
      <c r="C2195" s="28"/>
      <c r="D2195" s="26"/>
      <c r="E2195" s="7"/>
    </row>
    <row r="2196" spans="1:13" x14ac:dyDescent="0.25">
      <c r="A2196" s="7" t="s">
        <v>375</v>
      </c>
      <c r="B2196" t="str" cm="1">
        <f t="array" ref="B2196">BitsToHex(B2195)</f>
        <v>48326DC7</v>
      </c>
    </row>
    <row r="2198" spans="1:13" x14ac:dyDescent="0.25">
      <c r="C2198" s="27" t="s">
        <v>225</v>
      </c>
      <c r="E2198" s="24" t="s">
        <v>8</v>
      </c>
      <c r="F2198" s="24" t="s">
        <v>29</v>
      </c>
      <c r="G2198" s="24" t="s">
        <v>30</v>
      </c>
      <c r="H2198" s="24" t="s">
        <v>31</v>
      </c>
      <c r="I2198" s="24" t="s">
        <v>221</v>
      </c>
      <c r="J2198" s="24" t="s">
        <v>222</v>
      </c>
      <c r="K2198" s="24" t="s">
        <v>34</v>
      </c>
      <c r="L2198" s="24" t="s">
        <v>223</v>
      </c>
    </row>
    <row r="2199" spans="1:13" x14ac:dyDescent="0.25">
      <c r="E2199" s="24" t="str">
        <f>B2196</f>
        <v>48326DC7</v>
      </c>
      <c r="F2199" s="24" t="str">
        <f>E2167</f>
        <v>D52130F2</v>
      </c>
      <c r="G2199" s="24" t="str">
        <f>F2167</f>
        <v>EED7298A</v>
      </c>
      <c r="H2199" s="24" t="str">
        <f>G2167</f>
        <v>FA6BED13</v>
      </c>
      <c r="I2199" s="24" t="str">
        <f>B2190</f>
        <v>5A4833B8</v>
      </c>
      <c r="J2199" s="25" t="str">
        <f>I2167</f>
        <v>126371DD</v>
      </c>
      <c r="K2199" s="24" t="str">
        <f>J2167</f>
        <v>CA7B8830</v>
      </c>
      <c r="L2199" s="24" t="str">
        <f>K2167</f>
        <v>C25C101F</v>
      </c>
    </row>
    <row r="2200" spans="1:13" x14ac:dyDescent="0.25">
      <c r="A2200" s="2"/>
      <c r="B2200" s="2"/>
      <c r="C2200" s="30" t="s">
        <v>379</v>
      </c>
      <c r="D2200" s="2">
        <v>61</v>
      </c>
      <c r="E2200" s="2"/>
      <c r="F2200" s="2"/>
      <c r="G2200" s="2"/>
      <c r="H2200" s="2"/>
      <c r="I2200" s="2"/>
      <c r="J2200" s="2"/>
      <c r="K2200" s="2"/>
      <c r="L2200" s="2"/>
      <c r="M2200" s="2"/>
    </row>
    <row r="2201" spans="1:13" x14ac:dyDescent="0.25">
      <c r="D2201" t="s">
        <v>380</v>
      </c>
      <c r="E2201">
        <f>D2200+1</f>
        <v>62</v>
      </c>
    </row>
    <row r="2202" spans="1:13" x14ac:dyDescent="0.25">
      <c r="C2202" s="27" t="s">
        <v>224</v>
      </c>
      <c r="E2202" s="24" t="s">
        <v>8</v>
      </c>
      <c r="F2202" s="24" t="s">
        <v>29</v>
      </c>
      <c r="G2202" s="24" t="s">
        <v>30</v>
      </c>
      <c r="H2202" s="24" t="s">
        <v>31</v>
      </c>
      <c r="I2202" s="24" t="s">
        <v>221</v>
      </c>
      <c r="J2202" s="24" t="s">
        <v>222</v>
      </c>
      <c r="K2202" s="24" t="s">
        <v>34</v>
      </c>
      <c r="L2202" s="24" t="s">
        <v>223</v>
      </c>
    </row>
    <row r="2203" spans="1:13" x14ac:dyDescent="0.25">
      <c r="E2203" s="24" t="str">
        <f t="shared" ref="E2203:L2203" si="61">E2199</f>
        <v>48326DC7</v>
      </c>
      <c r="F2203" s="24" t="str">
        <f t="shared" si="61"/>
        <v>D52130F2</v>
      </c>
      <c r="G2203" s="24" t="str">
        <f t="shared" si="61"/>
        <v>EED7298A</v>
      </c>
      <c r="H2203" s="24" t="str">
        <f t="shared" si="61"/>
        <v>FA6BED13</v>
      </c>
      <c r="I2203" s="25" t="str">
        <f t="shared" si="61"/>
        <v>5A4833B8</v>
      </c>
      <c r="J2203" s="24" t="str">
        <f t="shared" si="61"/>
        <v>126371DD</v>
      </c>
      <c r="K2203" s="24" t="str">
        <f t="shared" si="61"/>
        <v>CA7B8830</v>
      </c>
      <c r="L2203" s="24" t="str">
        <f t="shared" si="61"/>
        <v>C25C101F</v>
      </c>
    </row>
    <row r="2205" spans="1:13" x14ac:dyDescent="0.25">
      <c r="A2205" s="7" t="s">
        <v>363</v>
      </c>
      <c r="B2205" s="7"/>
      <c r="C2205" s="28" t="s">
        <v>223</v>
      </c>
      <c r="D2205" s="26" t="s">
        <v>183</v>
      </c>
      <c r="E2205" s="8" t="s">
        <v>365</v>
      </c>
      <c r="F2205" s="26" t="s">
        <v>183</v>
      </c>
      <c r="G2205" s="8" t="s">
        <v>366</v>
      </c>
      <c r="H2205" s="26" t="s">
        <v>183</v>
      </c>
      <c r="I2205" s="8" t="s">
        <v>367</v>
      </c>
      <c r="J2205" s="26" t="s">
        <v>183</v>
      </c>
      <c r="K2205" s="8" t="s">
        <v>368</v>
      </c>
    </row>
    <row r="2206" spans="1:13" x14ac:dyDescent="0.25">
      <c r="A2206" s="7"/>
    </row>
    <row r="2207" spans="1:13" x14ac:dyDescent="0.25">
      <c r="A2207" s="7"/>
      <c r="C2207" s="27" t="str">
        <f>L2203</f>
        <v>C25C101F</v>
      </c>
      <c r="E2207" t="str" cm="1">
        <f t="array" ref="E2207">BSIG1_H(I2203)</f>
        <v>B27BB5E5</v>
      </c>
      <c r="G2207" t="str" cm="1">
        <f t="array" ref="G2207">CH_H(I2203,J2203,K2203)</f>
        <v>9273B998</v>
      </c>
      <c r="I2207" t="str" cm="1">
        <f t="array" ref="I2207">INDEX(Folha3!$C$15:$J$22,IF(MOD(E2201,8)=0,0,1)+INT(E2201/8),1+MOD(E2201-1,8))</f>
        <v>a4506ceb</v>
      </c>
      <c r="K2207" t="str" cm="1">
        <f t="array" ref="K2207">INDEX(Folha3!$C$38:$BN$38,1,E2201)</f>
        <v>51536E02</v>
      </c>
    </row>
    <row r="2208" spans="1:13" x14ac:dyDescent="0.25">
      <c r="A2208" s="7" t="s">
        <v>370</v>
      </c>
      <c r="C2208" s="27" t="str" cm="1">
        <f t="array" ref="C2208">HexToBits(C2207)</f>
        <v>11000010010111000001000000011111</v>
      </c>
      <c r="E2208" t="str" cm="1">
        <f t="array" ref="E2208">HexToBits(E2207)</f>
        <v>10110010011110111011010111100101</v>
      </c>
      <c r="G2208" t="str" cm="1">
        <f t="array" ref="G2208">HexToBits(G2207)</f>
        <v>10010010011100111011100110011000</v>
      </c>
      <c r="I2208" t="str" cm="1">
        <f t="array" ref="I2208">HexToBits(I2207)</f>
        <v>10100100010100000110110011101011</v>
      </c>
      <c r="K2208" t="str" cm="1">
        <f t="array" ref="K2208">HexToBits(K2207)</f>
        <v>01010001010100110110111000000010</v>
      </c>
    </row>
    <row r="2209" spans="1:12" x14ac:dyDescent="0.25">
      <c r="A2209" s="7"/>
    </row>
    <row r="2210" spans="1:12" x14ac:dyDescent="0.25">
      <c r="A2210" s="7" t="s">
        <v>364</v>
      </c>
      <c r="B2210" t="str">
        <f>_xlfn.BASE(
  (_xlfn.DECIMAL(C2208,2)+_xlfn.DECIMAL(E2208,2)+_xlfn.DECIMAL(G2208,2)+_xlfn.DECIMAL(I2208,2)+_xlfn.DECIMAL(K2208,2))
  - (INT((_xlfn.DECIMAL(C2208,2)+_xlfn.DECIMAL(E2208,2)+_xlfn.DECIMAL(G2208,2)+_xlfn.DECIMAL(I2208,2)+_xlfn.DECIMAL(K2208,2)) / 4294967296) * 4294967296),
  2,
  32
)</f>
        <v>11111100111011110101101010001001</v>
      </c>
    </row>
    <row r="2211" spans="1:12" x14ac:dyDescent="0.25">
      <c r="A2211" s="7" t="s">
        <v>369</v>
      </c>
      <c r="B2211" t="str" cm="1">
        <f t="array" ref="B2211">BitsToHex(B2210)</f>
        <v>FCEF5A89</v>
      </c>
    </row>
    <row r="2214" spans="1:12" x14ac:dyDescent="0.25">
      <c r="A2214" s="7" t="s">
        <v>373</v>
      </c>
      <c r="B2214" s="7"/>
      <c r="C2214" s="29" t="s">
        <v>371</v>
      </c>
      <c r="D2214" s="26" t="s">
        <v>183</v>
      </c>
      <c r="E2214" s="8" t="s">
        <v>372</v>
      </c>
      <c r="J2214" s="32"/>
    </row>
    <row r="2215" spans="1:12" x14ac:dyDescent="0.25">
      <c r="A2215" s="7"/>
    </row>
    <row r="2216" spans="1:12" x14ac:dyDescent="0.25">
      <c r="A2216" s="7"/>
      <c r="C2216" s="27" t="str" cm="1">
        <f t="array" ref="C2216">BSIG0_H(E2203)</f>
        <v>7581C7C2</v>
      </c>
      <c r="E2216" t="str" cm="1">
        <f t="array" ref="E2216">MAJ_H(E2203,F2203,G2203)</f>
        <v>CC3329C2</v>
      </c>
    </row>
    <row r="2217" spans="1:12" x14ac:dyDescent="0.25">
      <c r="A2217" s="7" t="s">
        <v>370</v>
      </c>
      <c r="C2217" s="27" t="str" cm="1">
        <f t="array" ref="C2217">HexToBits(C2216)</f>
        <v>01110101100000011100011111000010</v>
      </c>
      <c r="E2217" t="str" cm="1">
        <f t="array" ref="E2217">HexToBits(E2216)</f>
        <v>11001100001100110010100111000010</v>
      </c>
    </row>
    <row r="2218" spans="1:12" x14ac:dyDescent="0.25">
      <c r="A2218" s="7"/>
    </row>
    <row r="2219" spans="1:12" x14ac:dyDescent="0.25">
      <c r="A2219" s="7" t="s">
        <v>373</v>
      </c>
      <c r="B2219" t="str">
        <f>_xlfn.BASE(MOD(_xlfn.DECIMAL(C2217,2) + _xlfn.DECIMAL(E2217,2), 4294967296), 2, 32)</f>
        <v>01000001101101001111000110000100</v>
      </c>
    </row>
    <row r="2220" spans="1:12" x14ac:dyDescent="0.25">
      <c r="A2220" s="7" t="s">
        <v>369</v>
      </c>
      <c r="B2220" t="str" cm="1">
        <f t="array" ref="B2220">BitsToHex(B2219)</f>
        <v>41B4F184</v>
      </c>
    </row>
    <row r="2221" spans="1:12" x14ac:dyDescent="0.25">
      <c r="A2221" s="7"/>
    </row>
    <row r="2222" spans="1:12" x14ac:dyDescent="0.25">
      <c r="A2222" s="7" t="s">
        <v>374</v>
      </c>
      <c r="C2222" s="28" t="s">
        <v>31</v>
      </c>
      <c r="D2222" s="26" t="s">
        <v>183</v>
      </c>
      <c r="E2222" s="7" t="s">
        <v>227</v>
      </c>
    </row>
    <row r="2223" spans="1:12" x14ac:dyDescent="0.25">
      <c r="A2223" s="7"/>
      <c r="C2223" s="28"/>
      <c r="D2223" s="26"/>
      <c r="E2223" s="7"/>
      <c r="L2223" s="16"/>
    </row>
    <row r="2224" spans="1:12" x14ac:dyDescent="0.25">
      <c r="C2224" s="27" t="str" cm="1">
        <f t="array" ref="C2224">HexToBits(H2203)</f>
        <v>11111010011010111110110100010011</v>
      </c>
      <c r="D2224" s="26"/>
      <c r="E2224" t="str">
        <f>B2210</f>
        <v>11111100111011110101101010001001</v>
      </c>
    </row>
    <row r="2225" spans="1:13" x14ac:dyDescent="0.25">
      <c r="A2225" s="7" t="s">
        <v>374</v>
      </c>
      <c r="B2225" t="str">
        <f>_xlfn.BASE(MOD(_xlfn.DECIMAL(C2224,2) + _xlfn.DECIMAL(E2224,2), 4294967296), 2, 32)</f>
        <v>11110111010110110100011110011100</v>
      </c>
      <c r="D2225" s="16"/>
    </row>
    <row r="2226" spans="1:13" x14ac:dyDescent="0.25">
      <c r="A2226" s="7" t="s">
        <v>375</v>
      </c>
      <c r="B2226" t="str" cm="1">
        <f t="array" ref="B2226">BitsToHex(B2225)</f>
        <v>F75B479C</v>
      </c>
      <c r="C2226" s="28"/>
      <c r="D2226" s="26"/>
      <c r="E2226" s="7"/>
    </row>
    <row r="2227" spans="1:13" x14ac:dyDescent="0.25">
      <c r="A2227" s="7"/>
      <c r="C2227" s="28"/>
      <c r="D2227" s="26"/>
      <c r="E2227" s="7"/>
    </row>
    <row r="2228" spans="1:13" x14ac:dyDescent="0.25">
      <c r="A2228" s="7" t="s">
        <v>376</v>
      </c>
      <c r="C2228" s="28" t="s">
        <v>377</v>
      </c>
      <c r="D2228" s="26" t="s">
        <v>183</v>
      </c>
      <c r="E2228" s="7" t="s">
        <v>378</v>
      </c>
    </row>
    <row r="2229" spans="1:13" x14ac:dyDescent="0.25">
      <c r="A2229" s="7"/>
      <c r="C2229" s="27" t="str">
        <f>B2210</f>
        <v>11111100111011110101101010001001</v>
      </c>
      <c r="D2229" s="16"/>
      <c r="E2229" t="str">
        <f>B2219</f>
        <v>01000001101101001111000110000100</v>
      </c>
    </row>
    <row r="2230" spans="1:13" x14ac:dyDescent="0.25">
      <c r="A2230" s="7"/>
      <c r="C2230" s="28"/>
      <c r="D2230" s="26"/>
      <c r="E2230" s="7"/>
    </row>
    <row r="2231" spans="1:13" x14ac:dyDescent="0.25">
      <c r="A2231" s="7" t="s">
        <v>376</v>
      </c>
      <c r="B2231" t="str">
        <f>_xlfn.BASE(MOD(_xlfn.DECIMAL(C2229,2) + _xlfn.DECIMAL(E2229,2), 4294967296), 2, 32)</f>
        <v>00111110101001000100110000001101</v>
      </c>
      <c r="C2231" s="28"/>
      <c r="D2231" s="26"/>
      <c r="E2231" s="7"/>
    </row>
    <row r="2232" spans="1:13" x14ac:dyDescent="0.25">
      <c r="A2232" s="7" t="s">
        <v>375</v>
      </c>
      <c r="B2232" t="str" cm="1">
        <f t="array" ref="B2232">BitsToHex(B2231)</f>
        <v>3EA44C0D</v>
      </c>
    </row>
    <row r="2234" spans="1:13" x14ac:dyDescent="0.25">
      <c r="C2234" s="27" t="s">
        <v>225</v>
      </c>
      <c r="E2234" s="24" t="s">
        <v>8</v>
      </c>
      <c r="F2234" s="24" t="s">
        <v>29</v>
      </c>
      <c r="G2234" s="24" t="s">
        <v>30</v>
      </c>
      <c r="H2234" s="24" t="s">
        <v>31</v>
      </c>
      <c r="I2234" s="24" t="s">
        <v>221</v>
      </c>
      <c r="J2234" s="24" t="s">
        <v>222</v>
      </c>
      <c r="K2234" s="24" t="s">
        <v>34</v>
      </c>
      <c r="L2234" s="24" t="s">
        <v>223</v>
      </c>
    </row>
    <row r="2235" spans="1:13" x14ac:dyDescent="0.25">
      <c r="E2235" s="24" t="str">
        <f>B2232</f>
        <v>3EA44C0D</v>
      </c>
      <c r="F2235" s="24" t="str">
        <f>E2203</f>
        <v>48326DC7</v>
      </c>
      <c r="G2235" s="24" t="str">
        <f>F2203</f>
        <v>D52130F2</v>
      </c>
      <c r="H2235" s="24" t="str">
        <f>G2203</f>
        <v>EED7298A</v>
      </c>
      <c r="I2235" s="24" t="str">
        <f>B2226</f>
        <v>F75B479C</v>
      </c>
      <c r="J2235" s="25" t="str">
        <f>I2203</f>
        <v>5A4833B8</v>
      </c>
      <c r="K2235" s="24" t="str">
        <f>J2203</f>
        <v>126371DD</v>
      </c>
      <c r="L2235" s="24" t="str">
        <f>K2203</f>
        <v>CA7B8830</v>
      </c>
    </row>
    <row r="2236" spans="1:13" x14ac:dyDescent="0.25">
      <c r="A2236" s="2"/>
      <c r="B2236" s="2"/>
      <c r="C2236" s="30" t="s">
        <v>379</v>
      </c>
      <c r="D2236" s="2">
        <v>62</v>
      </c>
      <c r="E2236" s="2"/>
      <c r="F2236" s="2"/>
      <c r="G2236" s="2"/>
      <c r="H2236" s="2"/>
      <c r="I2236" s="2"/>
      <c r="J2236" s="2"/>
      <c r="K2236" s="2"/>
      <c r="L2236" s="2"/>
      <c r="M2236" s="2"/>
    </row>
    <row r="2237" spans="1:13" x14ac:dyDescent="0.25">
      <c r="D2237" t="s">
        <v>380</v>
      </c>
      <c r="E2237">
        <f>D2236+1</f>
        <v>63</v>
      </c>
    </row>
    <row r="2238" spans="1:13" x14ac:dyDescent="0.25">
      <c r="C2238" s="27" t="s">
        <v>224</v>
      </c>
      <c r="E2238" s="24" t="s">
        <v>8</v>
      </c>
      <c r="F2238" s="24" t="s">
        <v>29</v>
      </c>
      <c r="G2238" s="24" t="s">
        <v>30</v>
      </c>
      <c r="H2238" s="24" t="s">
        <v>31</v>
      </c>
      <c r="I2238" s="24" t="s">
        <v>221</v>
      </c>
      <c r="J2238" s="24" t="s">
        <v>222</v>
      </c>
      <c r="K2238" s="24" t="s">
        <v>34</v>
      </c>
      <c r="L2238" s="24" t="s">
        <v>223</v>
      </c>
    </row>
    <row r="2239" spans="1:13" x14ac:dyDescent="0.25">
      <c r="E2239" s="24" t="str">
        <f t="shared" ref="E2239:L2239" si="62">E2235</f>
        <v>3EA44C0D</v>
      </c>
      <c r="F2239" s="24" t="str">
        <f t="shared" si="62"/>
        <v>48326DC7</v>
      </c>
      <c r="G2239" s="24" t="str">
        <f t="shared" si="62"/>
        <v>D52130F2</v>
      </c>
      <c r="H2239" s="24" t="str">
        <f t="shared" si="62"/>
        <v>EED7298A</v>
      </c>
      <c r="I2239" s="25" t="str">
        <f t="shared" si="62"/>
        <v>F75B479C</v>
      </c>
      <c r="J2239" s="24" t="str">
        <f t="shared" si="62"/>
        <v>5A4833B8</v>
      </c>
      <c r="K2239" s="24" t="str">
        <f t="shared" si="62"/>
        <v>126371DD</v>
      </c>
      <c r="L2239" s="24" t="str">
        <f t="shared" si="62"/>
        <v>CA7B8830</v>
      </c>
    </row>
    <row r="2241" spans="1:11" x14ac:dyDescent="0.25">
      <c r="A2241" s="7" t="s">
        <v>363</v>
      </c>
      <c r="B2241" s="7"/>
      <c r="C2241" s="28" t="s">
        <v>223</v>
      </c>
      <c r="D2241" s="26" t="s">
        <v>183</v>
      </c>
      <c r="E2241" s="8" t="s">
        <v>365</v>
      </c>
      <c r="F2241" s="26" t="s">
        <v>183</v>
      </c>
      <c r="G2241" s="8" t="s">
        <v>366</v>
      </c>
      <c r="H2241" s="26" t="s">
        <v>183</v>
      </c>
      <c r="I2241" s="8" t="s">
        <v>367</v>
      </c>
      <c r="J2241" s="26" t="s">
        <v>183</v>
      </c>
      <c r="K2241" s="8" t="s">
        <v>368</v>
      </c>
    </row>
    <row r="2242" spans="1:11" x14ac:dyDescent="0.25">
      <c r="A2242" s="7"/>
    </row>
    <row r="2243" spans="1:11" x14ac:dyDescent="0.25">
      <c r="A2243" s="7"/>
      <c r="C2243" s="27" t="str">
        <f>L2239</f>
        <v>CA7B8830</v>
      </c>
      <c r="E2243" t="str" cm="1">
        <f t="array" ref="E2243">BSIG1_H(I2239)</f>
        <v>2DE0480D</v>
      </c>
      <c r="G2243" t="str" cm="1">
        <f t="array" ref="G2243">CH_H(I2239,J2239,K2239)</f>
        <v>526833D9</v>
      </c>
      <c r="I2243" t="str" cm="1">
        <f t="array" ref="I2243">INDEX(Folha3!$C$15:$J$22,IF(MOD(E2237,8)=0,0,1)+INT(E2237/8),1+MOD(E2237-1,8))</f>
        <v>bef9a3f7</v>
      </c>
      <c r="K2243" t="str" cm="1">
        <f t="array" ref="K2243">INDEX(Folha3!$C$38:$BN$38,1,E2237)</f>
        <v>B1CF0E74</v>
      </c>
    </row>
    <row r="2244" spans="1:11" x14ac:dyDescent="0.25">
      <c r="A2244" s="7" t="s">
        <v>370</v>
      </c>
      <c r="C2244" s="27" t="str" cm="1">
        <f t="array" ref="C2244">HexToBits(C2243)</f>
        <v>11001010011110111000100000110000</v>
      </c>
      <c r="E2244" t="str" cm="1">
        <f t="array" ref="E2244">HexToBits(E2243)</f>
        <v>00101101111000000100100000001101</v>
      </c>
      <c r="G2244" t="str" cm="1">
        <f t="array" ref="G2244">HexToBits(G2243)</f>
        <v>01010010011010000011001111011001</v>
      </c>
      <c r="I2244" t="str" cm="1">
        <f t="array" ref="I2244">HexToBits(I2243)</f>
        <v>10111110111110011010001111110111</v>
      </c>
      <c r="K2244" t="str" cm="1">
        <f t="array" ref="K2244">HexToBits(K2243)</f>
        <v>10110001110011110000111001110100</v>
      </c>
    </row>
    <row r="2245" spans="1:11" x14ac:dyDescent="0.25">
      <c r="A2245" s="7"/>
    </row>
    <row r="2246" spans="1:11" x14ac:dyDescent="0.25">
      <c r="A2246" s="7" t="s">
        <v>364</v>
      </c>
      <c r="B2246" t="str">
        <f>_xlfn.BASE(
  (_xlfn.DECIMAL(C2244,2)+_xlfn.DECIMAL(E2244,2)+_xlfn.DECIMAL(G2244,2)+_xlfn.DECIMAL(I2244,2)+_xlfn.DECIMAL(K2244,2))
  - (INT((_xlfn.DECIMAL(C2244,2)+_xlfn.DECIMAL(E2244,2)+_xlfn.DECIMAL(G2244,2)+_xlfn.DECIMAL(I2244,2)+_xlfn.DECIMAL(K2244,2)) / 4294967296) * 4294967296),
  2,
  32
)</f>
        <v>10111011100011001011011010000001</v>
      </c>
    </row>
    <row r="2247" spans="1:11" x14ac:dyDescent="0.25">
      <c r="A2247" s="7" t="s">
        <v>369</v>
      </c>
      <c r="B2247" t="str" cm="1">
        <f t="array" ref="B2247">BitsToHex(B2246)</f>
        <v>BB8CB681</v>
      </c>
    </row>
    <row r="2250" spans="1:11" x14ac:dyDescent="0.25">
      <c r="A2250" s="7" t="s">
        <v>373</v>
      </c>
      <c r="B2250" s="7"/>
      <c r="C2250" s="29" t="s">
        <v>371</v>
      </c>
      <c r="D2250" s="26" t="s">
        <v>183</v>
      </c>
      <c r="E2250" s="8" t="s">
        <v>372</v>
      </c>
      <c r="J2250" s="32"/>
    </row>
    <row r="2251" spans="1:11" x14ac:dyDescent="0.25">
      <c r="A2251" s="7"/>
    </row>
    <row r="2252" spans="1:11" x14ac:dyDescent="0.25">
      <c r="A2252" s="7"/>
      <c r="C2252" s="27" t="str" cm="1">
        <f t="array" ref="C2252">BSIG0_H(E2239)</f>
        <v>BEF0D2DB</v>
      </c>
      <c r="E2252" t="str" cm="1">
        <f t="array" ref="E2252">MAJ_H(E2239,F2239,G2239)</f>
        <v>5C206CC7</v>
      </c>
    </row>
    <row r="2253" spans="1:11" x14ac:dyDescent="0.25">
      <c r="A2253" s="7" t="s">
        <v>370</v>
      </c>
      <c r="C2253" s="27" t="str" cm="1">
        <f t="array" ref="C2253">HexToBits(C2252)</f>
        <v>10111110111100001101001011011011</v>
      </c>
      <c r="E2253" t="str" cm="1">
        <f t="array" ref="E2253">HexToBits(E2252)</f>
        <v>01011100001000000110110011000111</v>
      </c>
    </row>
    <row r="2254" spans="1:11" x14ac:dyDescent="0.25">
      <c r="A2254" s="7"/>
    </row>
    <row r="2255" spans="1:11" x14ac:dyDescent="0.25">
      <c r="A2255" s="7" t="s">
        <v>373</v>
      </c>
      <c r="B2255" t="str">
        <f>_xlfn.BASE(MOD(_xlfn.DECIMAL(C2253,2) + _xlfn.DECIMAL(E2253,2), 4294967296), 2, 32)</f>
        <v>00011011000100010011111110100010</v>
      </c>
    </row>
    <row r="2256" spans="1:11" x14ac:dyDescent="0.25">
      <c r="A2256" s="7" t="s">
        <v>369</v>
      </c>
      <c r="B2256" t="str" cm="1">
        <f t="array" ref="B2256">BitsToHex(B2255)</f>
        <v>1B113FA2</v>
      </c>
    </row>
    <row r="2257" spans="1:13" x14ac:dyDescent="0.25">
      <c r="A2257" s="7"/>
    </row>
    <row r="2258" spans="1:13" x14ac:dyDescent="0.25">
      <c r="A2258" s="7" t="s">
        <v>374</v>
      </c>
      <c r="C2258" s="28" t="s">
        <v>31</v>
      </c>
      <c r="D2258" s="26" t="s">
        <v>183</v>
      </c>
      <c r="E2258" s="7" t="s">
        <v>227</v>
      </c>
    </row>
    <row r="2259" spans="1:13" x14ac:dyDescent="0.25">
      <c r="A2259" s="7"/>
      <c r="C2259" s="28"/>
      <c r="D2259" s="26"/>
      <c r="E2259" s="7"/>
      <c r="L2259" s="16"/>
    </row>
    <row r="2260" spans="1:13" x14ac:dyDescent="0.25">
      <c r="C2260" s="27" t="str" cm="1">
        <f t="array" ref="C2260">HexToBits(H2239)</f>
        <v>11101110110101110010100110001010</v>
      </c>
      <c r="D2260" s="26"/>
      <c r="E2260" t="str">
        <f>B2246</f>
        <v>10111011100011001011011010000001</v>
      </c>
    </row>
    <row r="2261" spans="1:13" x14ac:dyDescent="0.25">
      <c r="A2261" s="7" t="s">
        <v>374</v>
      </c>
      <c r="B2261" t="str">
        <f>_xlfn.BASE(MOD(_xlfn.DECIMAL(C2260,2) + _xlfn.DECIMAL(E2260,2), 4294967296), 2, 32)</f>
        <v>10101010011000111110000000001011</v>
      </c>
      <c r="D2261" s="16"/>
    </row>
    <row r="2262" spans="1:13" x14ac:dyDescent="0.25">
      <c r="A2262" s="7" t="s">
        <v>375</v>
      </c>
      <c r="B2262" t="str" cm="1">
        <f t="array" ref="B2262">BitsToHex(B2261)</f>
        <v>AA63E00B</v>
      </c>
      <c r="C2262" s="28"/>
      <c r="D2262" s="26"/>
      <c r="E2262" s="7"/>
    </row>
    <row r="2263" spans="1:13" x14ac:dyDescent="0.25">
      <c r="A2263" s="7"/>
      <c r="C2263" s="28"/>
      <c r="D2263" s="26"/>
      <c r="E2263" s="7"/>
    </row>
    <row r="2264" spans="1:13" x14ac:dyDescent="0.25">
      <c r="A2264" s="7" t="s">
        <v>376</v>
      </c>
      <c r="C2264" s="28" t="s">
        <v>377</v>
      </c>
      <c r="D2264" s="26" t="s">
        <v>183</v>
      </c>
      <c r="E2264" s="7" t="s">
        <v>378</v>
      </c>
    </row>
    <row r="2265" spans="1:13" x14ac:dyDescent="0.25">
      <c r="A2265" s="7"/>
      <c r="C2265" s="27" t="str">
        <f>B2246</f>
        <v>10111011100011001011011010000001</v>
      </c>
      <c r="D2265" s="16"/>
      <c r="E2265" t="str">
        <f>B2255</f>
        <v>00011011000100010011111110100010</v>
      </c>
    </row>
    <row r="2266" spans="1:13" x14ac:dyDescent="0.25">
      <c r="A2266" s="7"/>
      <c r="C2266" s="28"/>
      <c r="D2266" s="26"/>
      <c r="E2266" s="7"/>
    </row>
    <row r="2267" spans="1:13" x14ac:dyDescent="0.25">
      <c r="A2267" s="7" t="s">
        <v>376</v>
      </c>
      <c r="B2267" t="str">
        <f>_xlfn.BASE(MOD(_xlfn.DECIMAL(C2265,2) + _xlfn.DECIMAL(E2265,2), 4294967296), 2, 32)</f>
        <v>11010110100111011111011000100011</v>
      </c>
      <c r="C2267" s="28"/>
      <c r="D2267" s="26"/>
      <c r="E2267" s="7"/>
    </row>
    <row r="2268" spans="1:13" x14ac:dyDescent="0.25">
      <c r="A2268" s="7" t="s">
        <v>375</v>
      </c>
      <c r="B2268" t="str" cm="1">
        <f t="array" ref="B2268">BitsToHex(B2267)</f>
        <v>D69DF623</v>
      </c>
    </row>
    <row r="2270" spans="1:13" x14ac:dyDescent="0.25">
      <c r="C2270" s="27" t="s">
        <v>225</v>
      </c>
      <c r="E2270" s="24" t="s">
        <v>8</v>
      </c>
      <c r="F2270" s="24" t="s">
        <v>29</v>
      </c>
      <c r="G2270" s="24" t="s">
        <v>30</v>
      </c>
      <c r="H2270" s="24" t="s">
        <v>31</v>
      </c>
      <c r="I2270" s="24" t="s">
        <v>221</v>
      </c>
      <c r="J2270" s="24" t="s">
        <v>222</v>
      </c>
      <c r="K2270" s="24" t="s">
        <v>34</v>
      </c>
      <c r="L2270" s="24" t="s">
        <v>223</v>
      </c>
    </row>
    <row r="2271" spans="1:13" x14ac:dyDescent="0.25">
      <c r="E2271" s="24" t="str">
        <f>B2268</f>
        <v>D69DF623</v>
      </c>
      <c r="F2271" s="24" t="str">
        <f>E2239</f>
        <v>3EA44C0D</v>
      </c>
      <c r="G2271" s="24" t="str">
        <f>F2239</f>
        <v>48326DC7</v>
      </c>
      <c r="H2271" s="24" t="str">
        <f>G2239</f>
        <v>D52130F2</v>
      </c>
      <c r="I2271" s="24" t="str">
        <f>B2262</f>
        <v>AA63E00B</v>
      </c>
      <c r="J2271" s="25" t="str">
        <f>I2239</f>
        <v>F75B479C</v>
      </c>
      <c r="K2271" s="24" t="str">
        <f>J2239</f>
        <v>5A4833B8</v>
      </c>
      <c r="L2271" s="24" t="str">
        <f>K2239</f>
        <v>126371DD</v>
      </c>
    </row>
    <row r="2272" spans="1:13" x14ac:dyDescent="0.25">
      <c r="A2272" s="2"/>
      <c r="B2272" s="2"/>
      <c r="C2272" s="30" t="s">
        <v>379</v>
      </c>
      <c r="D2272" s="2">
        <v>63</v>
      </c>
      <c r="E2272" s="2"/>
      <c r="F2272" s="2"/>
      <c r="G2272" s="2"/>
      <c r="H2272" s="2"/>
      <c r="I2272" s="2"/>
      <c r="J2272" s="2"/>
      <c r="K2272" s="2"/>
      <c r="L2272" s="2"/>
      <c r="M2272" s="2"/>
    </row>
    <row r="2273" spans="1:12" x14ac:dyDescent="0.25">
      <c r="D2273" t="s">
        <v>380</v>
      </c>
      <c r="E2273">
        <f>D2272+1</f>
        <v>64</v>
      </c>
    </row>
    <row r="2274" spans="1:12" x14ac:dyDescent="0.25">
      <c r="C2274" s="27" t="s">
        <v>224</v>
      </c>
      <c r="E2274" s="24" t="s">
        <v>8</v>
      </c>
      <c r="F2274" s="24" t="s">
        <v>29</v>
      </c>
      <c r="G2274" s="24" t="s">
        <v>30</v>
      </c>
      <c r="H2274" s="24" t="s">
        <v>31</v>
      </c>
      <c r="I2274" s="24" t="s">
        <v>221</v>
      </c>
      <c r="J2274" s="24" t="s">
        <v>222</v>
      </c>
      <c r="K2274" s="24" t="s">
        <v>34</v>
      </c>
      <c r="L2274" s="24" t="s">
        <v>223</v>
      </c>
    </row>
    <row r="2275" spans="1:12" x14ac:dyDescent="0.25">
      <c r="E2275" s="24" t="str">
        <f t="shared" ref="E2275:L2275" si="63">E2271</f>
        <v>D69DF623</v>
      </c>
      <c r="F2275" s="24" t="str">
        <f t="shared" si="63"/>
        <v>3EA44C0D</v>
      </c>
      <c r="G2275" s="24" t="str">
        <f t="shared" si="63"/>
        <v>48326DC7</v>
      </c>
      <c r="H2275" s="24" t="str">
        <f t="shared" si="63"/>
        <v>D52130F2</v>
      </c>
      <c r="I2275" s="25" t="str">
        <f t="shared" si="63"/>
        <v>AA63E00B</v>
      </c>
      <c r="J2275" s="24" t="str">
        <f t="shared" si="63"/>
        <v>F75B479C</v>
      </c>
      <c r="K2275" s="24" t="str">
        <f t="shared" si="63"/>
        <v>5A4833B8</v>
      </c>
      <c r="L2275" s="24" t="str">
        <f t="shared" si="63"/>
        <v>126371DD</v>
      </c>
    </row>
    <row r="2277" spans="1:12" x14ac:dyDescent="0.25">
      <c r="A2277" s="7" t="s">
        <v>363</v>
      </c>
      <c r="B2277" s="7"/>
      <c r="C2277" s="28" t="s">
        <v>223</v>
      </c>
      <c r="D2277" s="26" t="s">
        <v>183</v>
      </c>
      <c r="E2277" s="8" t="s">
        <v>365</v>
      </c>
      <c r="F2277" s="26" t="s">
        <v>183</v>
      </c>
      <c r="G2277" s="8" t="s">
        <v>366</v>
      </c>
      <c r="H2277" s="26" t="s">
        <v>183</v>
      </c>
      <c r="I2277" s="8" t="s">
        <v>367</v>
      </c>
      <c r="J2277" s="26" t="s">
        <v>183</v>
      </c>
      <c r="K2277" s="8" t="s">
        <v>368</v>
      </c>
    </row>
    <row r="2278" spans="1:12" x14ac:dyDescent="0.25">
      <c r="A2278" s="7"/>
    </row>
    <row r="2279" spans="1:12" x14ac:dyDescent="0.25">
      <c r="A2279" s="7"/>
      <c r="C2279" s="27" t="str">
        <f>L2275</f>
        <v>126371DD</v>
      </c>
      <c r="E2279" t="str" cm="1">
        <f t="array" ref="E2279">BSIG1_H(I2275)</f>
        <v>1E2CC629</v>
      </c>
      <c r="G2279" t="str" cm="1">
        <f t="array" ref="G2279">CH_H(I2275,J2275,K2275)</f>
        <v>F24B53B8</v>
      </c>
      <c r="I2279" t="str" cm="1">
        <f t="array" ref="I2279">INDEX(Folha3!$C$15:$J$22,IF(MOD(E2273,8)=0,0,1)+INT(E2273/8),1+MOD(E2273-1,8))</f>
        <v>c67178f2</v>
      </c>
      <c r="K2279" t="str" cm="1">
        <f t="array" ref="K2279">INDEX(Folha3!$C$38:$BN$38,1,E2273)</f>
        <v>42FA78CD</v>
      </c>
    </row>
    <row r="2280" spans="1:12" x14ac:dyDescent="0.25">
      <c r="A2280" s="7" t="s">
        <v>370</v>
      </c>
      <c r="C2280" s="27" t="str" cm="1">
        <f t="array" ref="C2280">HexToBits(C2279)</f>
        <v>00010010011000110111000111011101</v>
      </c>
      <c r="E2280" t="str" cm="1">
        <f t="array" ref="E2280">HexToBits(E2279)</f>
        <v>00011110001011001100011000101001</v>
      </c>
      <c r="G2280" t="str" cm="1">
        <f t="array" ref="G2280">HexToBits(G2279)</f>
        <v>11110010010010110101001110111000</v>
      </c>
      <c r="I2280" t="str" cm="1">
        <f t="array" ref="I2280">HexToBits(I2279)</f>
        <v>11000110011100010111100011110010</v>
      </c>
      <c r="K2280" t="str" cm="1">
        <f t="array" ref="K2280">HexToBits(K2279)</f>
        <v>01000010111110100111100011001101</v>
      </c>
    </row>
    <row r="2281" spans="1:12" x14ac:dyDescent="0.25">
      <c r="A2281" s="7"/>
    </row>
    <row r="2282" spans="1:12" x14ac:dyDescent="0.25">
      <c r="A2282" s="7" t="s">
        <v>364</v>
      </c>
      <c r="B2282" t="str">
        <f>_xlfn.BASE(
  (_xlfn.DECIMAL(C2280,2)+_xlfn.DECIMAL(E2280,2)+_xlfn.DECIMAL(G2280,2)+_xlfn.DECIMAL(I2280,2)+_xlfn.DECIMAL(K2280,2))
  - (INT((_xlfn.DECIMAL(C2280,2)+_xlfn.DECIMAL(E2280,2)+_xlfn.DECIMAL(G2280,2)+_xlfn.DECIMAL(I2280,2)+_xlfn.DECIMAL(K2280,2)) / 4294967296) * 4294967296),
  2,
  32
)</f>
        <v>00101100010001110111110101111101</v>
      </c>
    </row>
    <row r="2283" spans="1:12" x14ac:dyDescent="0.25">
      <c r="A2283" s="7" t="s">
        <v>369</v>
      </c>
      <c r="B2283" t="str" cm="1">
        <f t="array" ref="B2283">BitsToHex(B2282)</f>
        <v>2C477D7D</v>
      </c>
    </row>
    <row r="2286" spans="1:12" x14ac:dyDescent="0.25">
      <c r="A2286" s="7" t="s">
        <v>373</v>
      </c>
      <c r="B2286" s="7"/>
      <c r="C2286" s="29" t="s">
        <v>371</v>
      </c>
      <c r="D2286" s="26" t="s">
        <v>183</v>
      </c>
      <c r="E2286" s="8" t="s">
        <v>372</v>
      </c>
      <c r="J2286" s="32"/>
    </row>
    <row r="2287" spans="1:12" x14ac:dyDescent="0.25">
      <c r="A2287" s="7"/>
    </row>
    <row r="2288" spans="1:12" x14ac:dyDescent="0.25">
      <c r="A2288" s="7"/>
      <c r="C2288" s="27" t="str" cm="1">
        <f t="array" ref="C2288">BSIG0_H(E2275)</f>
        <v>3361463D</v>
      </c>
      <c r="E2288" t="str" cm="1">
        <f t="array" ref="E2288">MAJ_H(E2275,F2275,G2275)</f>
        <v>5EB46C07</v>
      </c>
    </row>
    <row r="2289" spans="1:12" x14ac:dyDescent="0.25">
      <c r="A2289" s="7" t="s">
        <v>370</v>
      </c>
      <c r="C2289" s="27" t="str" cm="1">
        <f t="array" ref="C2289">HexToBits(C2288)</f>
        <v>00110011011000010100011000111101</v>
      </c>
      <c r="E2289" t="str" cm="1">
        <f t="array" ref="E2289">HexToBits(E2288)</f>
        <v>01011110101101000110110000000111</v>
      </c>
    </row>
    <row r="2290" spans="1:12" x14ac:dyDescent="0.25">
      <c r="A2290" s="7"/>
    </row>
    <row r="2291" spans="1:12" x14ac:dyDescent="0.25">
      <c r="A2291" s="7" t="s">
        <v>373</v>
      </c>
      <c r="B2291" t="str">
        <f>_xlfn.BASE(MOD(_xlfn.DECIMAL(C2289,2) + _xlfn.DECIMAL(E2289,2), 4294967296), 2, 32)</f>
        <v>10010010000101011011001001000100</v>
      </c>
    </row>
    <row r="2292" spans="1:12" x14ac:dyDescent="0.25">
      <c r="A2292" s="7" t="s">
        <v>369</v>
      </c>
      <c r="B2292" t="str" cm="1">
        <f t="array" ref="B2292">BitsToHex(B2291)</f>
        <v>9215B244</v>
      </c>
    </row>
    <row r="2293" spans="1:12" x14ac:dyDescent="0.25">
      <c r="A2293" s="7"/>
    </row>
    <row r="2294" spans="1:12" x14ac:dyDescent="0.25">
      <c r="A2294" s="7" t="s">
        <v>374</v>
      </c>
      <c r="C2294" s="28" t="s">
        <v>31</v>
      </c>
      <c r="D2294" s="26" t="s">
        <v>183</v>
      </c>
      <c r="E2294" s="7" t="s">
        <v>227</v>
      </c>
    </row>
    <row r="2295" spans="1:12" x14ac:dyDescent="0.25">
      <c r="A2295" s="7"/>
      <c r="C2295" s="28"/>
      <c r="D2295" s="26"/>
      <c r="E2295" s="7"/>
      <c r="L2295" s="16"/>
    </row>
    <row r="2296" spans="1:12" x14ac:dyDescent="0.25">
      <c r="C2296" s="27" t="str" cm="1">
        <f t="array" ref="C2296">HexToBits(H2275)</f>
        <v>11010101001000010011000011110010</v>
      </c>
      <c r="D2296" s="26"/>
      <c r="E2296" t="str">
        <f>B2282</f>
        <v>00101100010001110111110101111101</v>
      </c>
    </row>
    <row r="2297" spans="1:12" x14ac:dyDescent="0.25">
      <c r="A2297" s="7" t="s">
        <v>374</v>
      </c>
      <c r="B2297" t="str">
        <f>_xlfn.BASE(MOD(_xlfn.DECIMAL(C2296,2) + _xlfn.DECIMAL(E2296,2), 4294967296), 2, 32)</f>
        <v>00000001011010001010111001101111</v>
      </c>
      <c r="D2297" s="16"/>
    </row>
    <row r="2298" spans="1:12" x14ac:dyDescent="0.25">
      <c r="A2298" s="7" t="s">
        <v>375</v>
      </c>
      <c r="B2298" t="str" cm="1">
        <f t="array" ref="B2298">BitsToHex(B2297)</f>
        <v>0168AE6F</v>
      </c>
      <c r="C2298" s="28"/>
      <c r="D2298" s="26"/>
      <c r="E2298" s="7"/>
    </row>
    <row r="2299" spans="1:12" x14ac:dyDescent="0.25">
      <c r="A2299" s="7"/>
      <c r="C2299" s="28"/>
      <c r="D2299" s="26"/>
      <c r="E2299" s="7"/>
    </row>
    <row r="2300" spans="1:12" x14ac:dyDescent="0.25">
      <c r="A2300" s="7" t="s">
        <v>376</v>
      </c>
      <c r="C2300" s="28" t="s">
        <v>377</v>
      </c>
      <c r="D2300" s="26" t="s">
        <v>183</v>
      </c>
      <c r="E2300" s="7" t="s">
        <v>378</v>
      </c>
    </row>
    <row r="2301" spans="1:12" x14ac:dyDescent="0.25">
      <c r="A2301" s="7"/>
      <c r="C2301" s="27" t="str">
        <f>B2282</f>
        <v>00101100010001110111110101111101</v>
      </c>
      <c r="D2301" s="16"/>
      <c r="E2301" t="str">
        <f>B2291</f>
        <v>10010010000101011011001001000100</v>
      </c>
    </row>
    <row r="2302" spans="1:12" x14ac:dyDescent="0.25">
      <c r="A2302" s="7"/>
      <c r="C2302" s="28"/>
      <c r="D2302" s="26"/>
      <c r="E2302" s="7"/>
    </row>
    <row r="2303" spans="1:12" x14ac:dyDescent="0.25">
      <c r="A2303" s="7" t="s">
        <v>376</v>
      </c>
      <c r="B2303" t="str">
        <f>_xlfn.BASE(MOD(_xlfn.DECIMAL(C2301,2) + _xlfn.DECIMAL(E2301,2), 4294967296), 2, 32)</f>
        <v>10111110010111010010111111000001</v>
      </c>
      <c r="C2303" s="28"/>
      <c r="D2303" s="26"/>
      <c r="E2303" s="7"/>
    </row>
    <row r="2304" spans="1:12" x14ac:dyDescent="0.25">
      <c r="A2304" s="7" t="s">
        <v>375</v>
      </c>
      <c r="B2304" t="str" cm="1">
        <f t="array" ref="B2304">BitsToHex(B2303)</f>
        <v>BE5D2FC1</v>
      </c>
    </row>
    <row r="2306" spans="2:12" x14ac:dyDescent="0.25">
      <c r="C2306" s="27" t="s">
        <v>225</v>
      </c>
      <c r="E2306" s="24" t="s">
        <v>8</v>
      </c>
      <c r="F2306" s="24" t="s">
        <v>29</v>
      </c>
      <c r="G2306" s="24" t="s">
        <v>30</v>
      </c>
      <c r="H2306" s="24" t="s">
        <v>31</v>
      </c>
      <c r="I2306" s="24" t="s">
        <v>221</v>
      </c>
      <c r="J2306" s="24" t="s">
        <v>222</v>
      </c>
      <c r="K2306" s="24" t="s">
        <v>34</v>
      </c>
      <c r="L2306" s="24" t="s">
        <v>223</v>
      </c>
    </row>
    <row r="2307" spans="2:12" x14ac:dyDescent="0.25">
      <c r="E2307" s="24" t="str">
        <f>B2304</f>
        <v>BE5D2FC1</v>
      </c>
      <c r="F2307" s="24" t="str">
        <f>E2275</f>
        <v>D69DF623</v>
      </c>
      <c r="G2307" s="24" t="str">
        <f>F2275</f>
        <v>3EA44C0D</v>
      </c>
      <c r="H2307" s="24" t="str">
        <f>G2275</f>
        <v>48326DC7</v>
      </c>
      <c r="I2307" s="24" t="str">
        <f>B2298</f>
        <v>0168AE6F</v>
      </c>
      <c r="J2307" s="25" t="str">
        <f>I2275</f>
        <v>AA63E00B</v>
      </c>
      <c r="K2307" s="24" t="str">
        <f>J2275</f>
        <v>F75B479C</v>
      </c>
      <c r="L2307" s="24" t="str">
        <f>K2275</f>
        <v>5A4833B8</v>
      </c>
    </row>
    <row r="2308" spans="2:12" s="2" customFormat="1" x14ac:dyDescent="0.25">
      <c r="C2308" s="30"/>
    </row>
    <row r="2311" spans="2:12" x14ac:dyDescent="0.25">
      <c r="C2311" s="27" t="s">
        <v>226</v>
      </c>
      <c r="E2311" s="24" t="s">
        <v>8</v>
      </c>
      <c r="F2311" s="24" t="s">
        <v>29</v>
      </c>
      <c r="G2311" s="24" t="s">
        <v>30</v>
      </c>
      <c r="H2311" s="24" t="s">
        <v>31</v>
      </c>
      <c r="I2311" s="24" t="s">
        <v>221</v>
      </c>
      <c r="J2311" s="24" t="s">
        <v>222</v>
      </c>
      <c r="K2311" s="24" t="s">
        <v>34</v>
      </c>
      <c r="L2311" s="24" t="s">
        <v>223</v>
      </c>
    </row>
    <row r="2312" spans="2:12" x14ac:dyDescent="0.25">
      <c r="E2312" s="24" t="str">
        <f>+E3</f>
        <v>6a09e667</v>
      </c>
      <c r="F2312" s="24" t="str">
        <f t="shared" ref="F2312:L2312" si="64">+F3</f>
        <v>bb67ae85</v>
      </c>
      <c r="G2312" s="24" t="str">
        <f t="shared" si="64"/>
        <v>3c6ef372</v>
      </c>
      <c r="H2312" s="24" t="str">
        <f t="shared" si="64"/>
        <v>a54ff53a</v>
      </c>
      <c r="I2312" s="24" t="str">
        <f t="shared" si="64"/>
        <v>510e527f</v>
      </c>
      <c r="J2312" s="24" t="str">
        <f t="shared" si="64"/>
        <v>9b05688c</v>
      </c>
      <c r="K2312" s="24" t="str">
        <f t="shared" si="64"/>
        <v>1f83d9ab</v>
      </c>
      <c r="L2312" s="24" t="str">
        <f t="shared" si="64"/>
        <v>5be0cd19</v>
      </c>
    </row>
    <row r="2315" spans="2:12" ht="14.45" hidden="1" customHeight="1" x14ac:dyDescent="0.25">
      <c r="E2315">
        <v>0</v>
      </c>
      <c r="F2315">
        <v>1</v>
      </c>
      <c r="G2315">
        <v>2</v>
      </c>
      <c r="H2315">
        <v>3</v>
      </c>
      <c r="I2315">
        <v>4</v>
      </c>
      <c r="J2315">
        <v>5</v>
      </c>
      <c r="K2315">
        <v>6</v>
      </c>
      <c r="L2315">
        <v>7</v>
      </c>
    </row>
    <row r="2316" spans="2:12" x14ac:dyDescent="0.25">
      <c r="B2316" t="s">
        <v>381</v>
      </c>
      <c r="E2316" t="str">
        <f>E2311&amp;"+h"&amp;E2315</f>
        <v>a+h0</v>
      </c>
      <c r="F2316" t="str">
        <f t="shared" ref="F2316:L2316" si="65">F2311&amp;"+h"&amp;F2315</f>
        <v>b+h1</v>
      </c>
      <c r="G2316" t="str">
        <f t="shared" si="65"/>
        <v>c+h2</v>
      </c>
      <c r="H2316" t="str">
        <f t="shared" si="65"/>
        <v>d+h3</v>
      </c>
      <c r="I2316" t="str">
        <f t="shared" si="65"/>
        <v>e+h4</v>
      </c>
      <c r="J2316" t="str">
        <f t="shared" si="65"/>
        <v>f+h5</v>
      </c>
      <c r="K2316" t="str">
        <f t="shared" si="65"/>
        <v>g+h6</v>
      </c>
      <c r="L2316" t="str">
        <f t="shared" si="65"/>
        <v>h+h7</v>
      </c>
    </row>
    <row r="2317" spans="2:12" x14ac:dyDescent="0.25">
      <c r="E2317" t="str">
        <f>+E2321</f>
        <v>28671628</v>
      </c>
      <c r="F2317" t="str">
        <f t="shared" ref="F2317:L2317" si="66">+F2321</f>
        <v>9205A4A8</v>
      </c>
      <c r="G2317" t="str">
        <f t="shared" si="66"/>
        <v>7B133F7F</v>
      </c>
      <c r="H2317" t="str">
        <f t="shared" si="66"/>
        <v>ED826301</v>
      </c>
      <c r="I2317" t="str">
        <f t="shared" si="66"/>
        <v>527700EE</v>
      </c>
      <c r="J2317" t="str">
        <f t="shared" si="66"/>
        <v>45694897</v>
      </c>
      <c r="K2317" t="str">
        <f t="shared" si="66"/>
        <v>16DF2147</v>
      </c>
      <c r="L2317" t="str">
        <f t="shared" si="66"/>
        <v>B62900D1</v>
      </c>
    </row>
    <row r="2318" spans="2:12" hidden="1" x14ac:dyDescent="0.25">
      <c r="E2318" t="str" cm="1">
        <f t="array" ref="E2318">HexToBits(E2307)</f>
        <v>10111110010111010010111111000001</v>
      </c>
      <c r="F2318" t="str" cm="1">
        <f t="array" ref="F2318">HexToBits(F2307)</f>
        <v>11010110100111011111011000100011</v>
      </c>
      <c r="G2318" t="str" cm="1">
        <f t="array" ref="G2318">HexToBits(G2307)</f>
        <v>00111110101001000100110000001101</v>
      </c>
      <c r="H2318" t="str" cm="1">
        <f t="array" ref="H2318">HexToBits(H2307)</f>
        <v>01001000001100100110110111000111</v>
      </c>
      <c r="I2318" t="str" cm="1">
        <f t="array" ref="I2318">HexToBits(I2307)</f>
        <v>00000001011010001010111001101111</v>
      </c>
      <c r="J2318" t="str" cm="1">
        <f t="array" ref="J2318">HexToBits(J2307)</f>
        <v>10101010011000111110000000001011</v>
      </c>
      <c r="K2318" t="str" cm="1">
        <f t="array" ref="K2318">HexToBits(K2307)</f>
        <v>11110111010110110100011110011100</v>
      </c>
      <c r="L2318" t="str" cm="1">
        <f t="array" ref="L2318">HexToBits(L2307)</f>
        <v>01011010010010000011001110111000</v>
      </c>
    </row>
    <row r="2319" spans="2:12" hidden="1" x14ac:dyDescent="0.25">
      <c r="E2319" t="str" cm="1">
        <f t="array" ref="E2319">HexToBits(E2312)</f>
        <v>01101010000010011110011001100111</v>
      </c>
      <c r="F2319" t="str" cm="1">
        <f t="array" ref="F2319">HexToBits(F2312)</f>
        <v>10111011011001111010111010000101</v>
      </c>
      <c r="G2319" t="str" cm="1">
        <f t="array" ref="G2319">HexToBits(G2312)</f>
        <v>00111100011011101111001101110010</v>
      </c>
      <c r="H2319" t="str" cm="1">
        <f t="array" ref="H2319">HexToBits(H2312)</f>
        <v>10100101010011111111010100111010</v>
      </c>
      <c r="I2319" t="str" cm="1">
        <f t="array" ref="I2319">HexToBits(I2312)</f>
        <v>01010001000011100101001001111111</v>
      </c>
      <c r="J2319" t="str" cm="1">
        <f t="array" ref="J2319">HexToBits(J2312)</f>
        <v>10011011000001010110100010001100</v>
      </c>
      <c r="K2319" t="str" cm="1">
        <f t="array" ref="K2319">HexToBits(K2312)</f>
        <v>00011111100000111101100110101011</v>
      </c>
      <c r="L2319" t="str" cm="1">
        <f t="array" ref="L2319">HexToBits(L2312)</f>
        <v>01011011111000001100110100011001</v>
      </c>
    </row>
    <row r="2320" spans="2:12" hidden="1" x14ac:dyDescent="0.25">
      <c r="E2320" t="str">
        <f>_xlfn.BASE(MOD(_xlfn.DECIMAL(E2318,2) + _xlfn.DECIMAL(E2319,2), 4294967296), 2, 32)</f>
        <v>00101000011001110001011000101000</v>
      </c>
      <c r="F2320" t="str">
        <f t="shared" ref="F2320:L2320" si="67">_xlfn.BASE(MOD(_xlfn.DECIMAL(F2318,2) + _xlfn.DECIMAL(F2319,2), 4294967296), 2, 32)</f>
        <v>10010010000001011010010010101000</v>
      </c>
      <c r="G2320" t="str">
        <f t="shared" si="67"/>
        <v>01111011000100110011111101111111</v>
      </c>
      <c r="H2320" t="str">
        <f t="shared" si="67"/>
        <v>11101101100000100110001100000001</v>
      </c>
      <c r="I2320" t="str">
        <f t="shared" si="67"/>
        <v>01010010011101110000000011101110</v>
      </c>
      <c r="J2320" t="str">
        <f t="shared" si="67"/>
        <v>01000101011010010100100010010111</v>
      </c>
      <c r="K2320" t="str">
        <f t="shared" si="67"/>
        <v>00010110110111110010000101000111</v>
      </c>
      <c r="L2320" t="str">
        <f t="shared" si="67"/>
        <v>10110110001010010000000011010001</v>
      </c>
    </row>
    <row r="2321" spans="5:12" hidden="1" x14ac:dyDescent="0.25">
      <c r="E2321" t="str" cm="1">
        <f t="array" ref="E2321">BitsToHex(E2320)</f>
        <v>28671628</v>
      </c>
      <c r="F2321" t="str" cm="1">
        <f t="array" ref="F2321">BitsToHex(F2320)</f>
        <v>9205A4A8</v>
      </c>
      <c r="G2321" t="str" cm="1">
        <f t="array" ref="G2321">BitsToHex(G2320)</f>
        <v>7B133F7F</v>
      </c>
      <c r="H2321" t="str" cm="1">
        <f t="array" ref="H2321">BitsToHex(H2320)</f>
        <v>ED826301</v>
      </c>
      <c r="I2321" t="str" cm="1">
        <f t="array" ref="I2321">BitsToHex(I2320)</f>
        <v>527700EE</v>
      </c>
      <c r="J2321" t="str" cm="1">
        <f t="array" ref="J2321">BitsToHex(J2320)</f>
        <v>45694897</v>
      </c>
      <c r="K2321" t="str" cm="1">
        <f t="array" ref="K2321">BitsToHex(K2320)</f>
        <v>16DF2147</v>
      </c>
      <c r="L2321" t="str" cm="1">
        <f t="array" ref="L2321">BitsToHex(L2320)</f>
        <v>B62900D1</v>
      </c>
    </row>
    <row r="2322" spans="5:12" x14ac:dyDescent="0.25">
      <c r="E2322">
        <f>HEX2DEC(MID(E2317,1,2))</f>
        <v>40</v>
      </c>
    </row>
    <row r="2323" spans="5:12" x14ac:dyDescent="0.25">
      <c r="E2323">
        <f>HEX2DEC(MID(E2317,3,2))</f>
        <v>103</v>
      </c>
    </row>
    <row r="2324" spans="5:12" x14ac:dyDescent="0.25">
      <c r="E2324">
        <f>HEX2DEC(MID(E2317,5,2))</f>
        <v>22</v>
      </c>
    </row>
    <row r="2325" spans="5:12" x14ac:dyDescent="0.25">
      <c r="E2325">
        <f>HEX2DEC(MID(E2317,7,2))</f>
        <v>40</v>
      </c>
    </row>
    <row r="2326" spans="5:12" x14ac:dyDescent="0.25">
      <c r="E2326">
        <f>HEX2DEC(MID(F2317,1,2))</f>
        <v>146</v>
      </c>
    </row>
    <row r="2327" spans="5:12" x14ac:dyDescent="0.25">
      <c r="E2327">
        <f>HEX2DEC(MID(F2317,3,2))</f>
        <v>5</v>
      </c>
    </row>
    <row r="2328" spans="5:12" x14ac:dyDescent="0.25">
      <c r="E2328">
        <f>HEX2DEC(MID(F2317,5,2))</f>
        <v>164</v>
      </c>
    </row>
    <row r="2329" spans="5:12" x14ac:dyDescent="0.25">
      <c r="E2329">
        <f>HEX2DEC(MID(F2317,7,2))</f>
        <v>168</v>
      </c>
    </row>
    <row r="2330" spans="5:12" x14ac:dyDescent="0.25">
      <c r="E2330">
        <f>HEX2DEC(MID(G2317,1,2))</f>
        <v>123</v>
      </c>
    </row>
    <row r="2331" spans="5:12" x14ac:dyDescent="0.25">
      <c r="E2331">
        <f>HEX2DEC(MID(G2317,3,2))</f>
        <v>19</v>
      </c>
    </row>
    <row r="2332" spans="5:12" x14ac:dyDescent="0.25">
      <c r="E2332">
        <f>HEX2DEC(MID(G2317,5,2))</f>
        <v>63</v>
      </c>
    </row>
    <row r="2333" spans="5:12" x14ac:dyDescent="0.25">
      <c r="E2333">
        <f>HEX2DEC(MID(G2317,7,2))</f>
        <v>127</v>
      </c>
    </row>
    <row r="2334" spans="5:12" x14ac:dyDescent="0.25">
      <c r="E2334">
        <f>HEX2DEC(MID(H2317,1,2))</f>
        <v>237</v>
      </c>
    </row>
    <row r="2335" spans="5:12" x14ac:dyDescent="0.25">
      <c r="E2335">
        <f>HEX2DEC(MID(H2317,3,2))</f>
        <v>130</v>
      </c>
    </row>
    <row r="2336" spans="5:12" x14ac:dyDescent="0.25">
      <c r="E2336">
        <f>HEX2DEC(MID(H2317,5,2))</f>
        <v>99</v>
      </c>
    </row>
    <row r="2337" spans="5:5" x14ac:dyDescent="0.25">
      <c r="E2337">
        <f>HEX2DEC(MID(H2317,7,2))</f>
        <v>1</v>
      </c>
    </row>
    <row r="2338" spans="5:5" x14ac:dyDescent="0.25">
      <c r="E2338">
        <f>HEX2DEC(MID(I2317,1,2))</f>
        <v>82</v>
      </c>
    </row>
    <row r="2339" spans="5:5" x14ac:dyDescent="0.25">
      <c r="E2339">
        <f>HEX2DEC(MID(I2317,3,2))</f>
        <v>119</v>
      </c>
    </row>
    <row r="2340" spans="5:5" x14ac:dyDescent="0.25">
      <c r="E2340">
        <f>HEX2DEC(MID(I2317,5,2))</f>
        <v>0</v>
      </c>
    </row>
    <row r="2341" spans="5:5" x14ac:dyDescent="0.25">
      <c r="E2341">
        <f>HEX2DEC(MID(I2317,7,2))</f>
        <v>238</v>
      </c>
    </row>
    <row r="2342" spans="5:5" x14ac:dyDescent="0.25">
      <c r="E2342">
        <f>HEX2DEC(MID(J2317,1,2))</f>
        <v>69</v>
      </c>
    </row>
    <row r="2343" spans="5:5" x14ac:dyDescent="0.25">
      <c r="E2343">
        <f>HEX2DEC(MID(J2317,3,2))</f>
        <v>105</v>
      </c>
    </row>
    <row r="2344" spans="5:5" x14ac:dyDescent="0.25">
      <c r="E2344">
        <f>HEX2DEC(MID(J2317,5,2))</f>
        <v>72</v>
      </c>
    </row>
    <row r="2345" spans="5:5" x14ac:dyDescent="0.25">
      <c r="E2345">
        <f>HEX2DEC(MID(J2317,7,2))</f>
        <v>151</v>
      </c>
    </row>
    <row r="2346" spans="5:5" x14ac:dyDescent="0.25">
      <c r="E2346">
        <f>HEX2DEC(MID(K2317,1,2))</f>
        <v>22</v>
      </c>
    </row>
    <row r="2347" spans="5:5" x14ac:dyDescent="0.25">
      <c r="E2347">
        <f>HEX2DEC(MID(K2317,3,2))</f>
        <v>223</v>
      </c>
    </row>
    <row r="2348" spans="5:5" x14ac:dyDescent="0.25">
      <c r="E2348">
        <f>HEX2DEC(MID(K2317,5,2))</f>
        <v>33</v>
      </c>
    </row>
    <row r="2349" spans="5:5" x14ac:dyDescent="0.25">
      <c r="E2349">
        <f>HEX2DEC(MID(K2317,7,2))</f>
        <v>71</v>
      </c>
    </row>
    <row r="2350" spans="5:5" x14ac:dyDescent="0.25">
      <c r="E2350">
        <f>HEX2DEC(MID(L2317,1,2))</f>
        <v>182</v>
      </c>
    </row>
    <row r="2351" spans="5:5" x14ac:dyDescent="0.25">
      <c r="E2351">
        <f>HEX2DEC(MID(L2317,3,2))</f>
        <v>41</v>
      </c>
    </row>
    <row r="2352" spans="5:5" x14ac:dyDescent="0.25">
      <c r="E2352">
        <f>HEX2DEC(MID(L2317,5,2))</f>
        <v>0</v>
      </c>
    </row>
    <row r="2353" spans="5:5" x14ac:dyDescent="0.25">
      <c r="E2353">
        <f>HEX2DEC(MID(L2317,7,2))</f>
        <v>209</v>
      </c>
    </row>
  </sheetData>
  <pageMargins left="0.7" right="0.7" top="0.75" bottom="0.75" header="0.3" footer="0.3"/>
  <ignoredErrors>
    <ignoredError sqref="I3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89AA6-0501-4B17-8494-309F57BB6B6A}">
  <dimension ref="A1:AL268"/>
  <sheetViews>
    <sheetView topLeftCell="C1" workbookViewId="0">
      <selection activeCell="E17" sqref="E17"/>
    </sheetView>
  </sheetViews>
  <sheetFormatPr defaultRowHeight="15" x14ac:dyDescent="0.25"/>
  <cols>
    <col min="1" max="1" width="36.28515625" bestFit="1" customWidth="1"/>
    <col min="2" max="2" width="66.28515625" bestFit="1" customWidth="1"/>
    <col min="3" max="3" width="13.28515625" customWidth="1"/>
  </cols>
  <sheetData>
    <row r="1" spans="1:38" x14ac:dyDescent="0.25">
      <c r="A1" s="39" t="s">
        <v>441</v>
      </c>
      <c r="B1" s="39"/>
      <c r="C1" s="39"/>
    </row>
    <row r="2" spans="1:38" x14ac:dyDescent="0.25">
      <c r="A2" s="33" t="s">
        <v>431</v>
      </c>
      <c r="B2" s="33" t="s">
        <v>433</v>
      </c>
      <c r="C2" s="33" t="s">
        <v>381</v>
      </c>
    </row>
    <row r="3" spans="1:38" x14ac:dyDescent="0.25">
      <c r="A3" s="24" t="s">
        <v>432</v>
      </c>
      <c r="B3" s="24" t="s">
        <v>434</v>
      </c>
      <c r="C3" s="24" t="b">
        <f>UPPER(B3)=(Folha4!E2317&amp;Folha4!F2317&amp;Folha4!G2317&amp;Folha4!H2317&amp;Folha4!I2317&amp;Folha4!J2317&amp;Folha4!K2317&amp;Folha4!L2317)</f>
        <v>0</v>
      </c>
    </row>
    <row r="4" spans="1:38" x14ac:dyDescent="0.25">
      <c r="A4" s="24" t="s">
        <v>435</v>
      </c>
      <c r="B4" s="25" t="s">
        <v>436</v>
      </c>
      <c r="C4" s="24" t="b">
        <f>UPPER(B4)=(Folha4!E2317&amp;Folha4!F2317&amp;Folha4!G2317&amp;Folha4!H2317&amp;Folha4!I2317&amp;Folha4!J2317&amp;Folha4!K2317&amp;Folha4!L2317)</f>
        <v>0</v>
      </c>
    </row>
    <row r="5" spans="1:38" x14ac:dyDescent="0.25">
      <c r="A5" s="24" t="s">
        <v>437</v>
      </c>
      <c r="B5" s="24" t="s">
        <v>438</v>
      </c>
      <c r="C5" s="24" t="b">
        <f>UPPER(B5)=(Folha4!E2317&amp;Folha4!F2317&amp;Folha4!G2317&amp;Folha4!H2317&amp;Folha4!I2317&amp;Folha4!J2317&amp;Folha4!K2317&amp;Folha4!L2317)</f>
        <v>0</v>
      </c>
    </row>
    <row r="6" spans="1:38" x14ac:dyDescent="0.25">
      <c r="A6" s="40" t="s">
        <v>440</v>
      </c>
      <c r="B6" s="41"/>
      <c r="C6" s="42"/>
    </row>
    <row r="7" spans="1:38" x14ac:dyDescent="0.25">
      <c r="A7" s="24" t="s">
        <v>439</v>
      </c>
      <c r="B7" s="24" t="s">
        <v>442</v>
      </c>
      <c r="C7" s="24" t="b">
        <f>UPPER(B7)=(Folha4!E2317&amp;Folha4!F2317&amp;Folha4!G2317&amp;Folha4!H2317&amp;Folha4!I2317&amp;Folha4!J2317&amp;Folha4!K2317&amp;Folha4!L2317)</f>
        <v>0</v>
      </c>
    </row>
    <row r="8" spans="1:38" x14ac:dyDescent="0.25">
      <c r="A8" s="24" t="s">
        <v>443</v>
      </c>
      <c r="B8" s="24" t="s">
        <v>444</v>
      </c>
      <c r="C8" s="24" t="b">
        <f>UPPER(B8)=(Folha4!E2318&amp;Folha4!F2318&amp;Folha4!G2318&amp;Folha4!H2318&amp;Folha4!I2318&amp;Folha4!J2318&amp;Folha4!K2318&amp;Folha4!L2318)</f>
        <v>0</v>
      </c>
      <c r="F8" s="7" t="s">
        <v>485</v>
      </c>
      <c r="G8">
        <f>CORREL(F13:F268,G13:G268)</f>
        <v>1.6020723366411058E-3</v>
      </c>
      <c r="H8">
        <f t="shared" ref="H8:AG8" si="0">CORREL(G13:G268,H13:H268)</f>
        <v>-1.6569798118940392E-2</v>
      </c>
      <c r="I8">
        <f t="shared" si="0"/>
        <v>1.3383825569525675E-2</v>
      </c>
      <c r="J8">
        <f t="shared" si="0"/>
        <v>-0.11291805762211161</v>
      </c>
      <c r="K8">
        <f t="shared" si="0"/>
        <v>0.14438724107929221</v>
      </c>
      <c r="L8">
        <f t="shared" si="0"/>
        <v>-2.669670855664719E-2</v>
      </c>
      <c r="M8">
        <f t="shared" si="0"/>
        <v>1.255368477541121E-2</v>
      </c>
      <c r="N8">
        <f t="shared" si="0"/>
        <v>1.9169495547267733E-2</v>
      </c>
      <c r="O8">
        <f t="shared" si="0"/>
        <v>-4.5834962730399147E-3</v>
      </c>
      <c r="P8">
        <f t="shared" si="0"/>
        <v>1.2357170592914114E-2</v>
      </c>
      <c r="Q8">
        <f t="shared" si="0"/>
        <v>1.8443784405701307E-2</v>
      </c>
      <c r="R8">
        <f t="shared" si="0"/>
        <v>8.1684468395524693E-2</v>
      </c>
      <c r="S8">
        <f t="shared" si="0"/>
        <v>-8.4621634171250501E-2</v>
      </c>
      <c r="T8">
        <f t="shared" si="0"/>
        <v>7.1559385685662003E-2</v>
      </c>
      <c r="U8">
        <f t="shared" si="0"/>
        <v>-3.1811571040639676E-2</v>
      </c>
      <c r="V8">
        <f t="shared" si="0"/>
        <v>1.7815982213437376E-2</v>
      </c>
      <c r="W8">
        <f t="shared" si="0"/>
        <v>3.7235667155789007E-2</v>
      </c>
      <c r="X8">
        <f t="shared" si="0"/>
        <v>-6.1569287899874543E-2</v>
      </c>
      <c r="Y8">
        <f t="shared" si="0"/>
        <v>-3.5214428124752485E-2</v>
      </c>
      <c r="Z8">
        <f t="shared" si="0"/>
        <v>7.4525327475856384E-2</v>
      </c>
      <c r="AA8">
        <f t="shared" si="0"/>
        <v>-9.5160763259530393E-2</v>
      </c>
      <c r="AB8">
        <f t="shared" si="0"/>
        <v>5.9561416668120148E-2</v>
      </c>
      <c r="AC8">
        <f t="shared" si="0"/>
        <v>-8.562188452319501E-2</v>
      </c>
      <c r="AD8">
        <f t="shared" si="0"/>
        <v>3.3128442085414614E-2</v>
      </c>
      <c r="AE8">
        <f t="shared" si="0"/>
        <v>-7.0166782515920068E-2</v>
      </c>
      <c r="AF8">
        <f t="shared" si="0"/>
        <v>5.7683872729851433E-2</v>
      </c>
      <c r="AG8">
        <f t="shared" si="0"/>
        <v>1.1445116018528982E-2</v>
      </c>
      <c r="AH8">
        <f>CORREL(AG13:AG268,AH13:AH268)</f>
        <v>4.9389676222327768E-2</v>
      </c>
      <c r="AI8">
        <f>CORREL(AH13:AH268,AI13:AI268)</f>
        <v>-5.3640677545532508E-3</v>
      </c>
      <c r="AJ8">
        <f>CORREL(AI13:AI268,AJ13:AJ268)</f>
        <v>-1.9575665491648016E-2</v>
      </c>
      <c r="AK8">
        <f>CORREL(AJ13:AJ268,AK13:AK268)</f>
        <v>7.1557217497936559E-2</v>
      </c>
      <c r="AL8">
        <f>CORREL(AK13:AK268,AL13:AL268)</f>
        <v>5.1015370187719428E-2</v>
      </c>
    </row>
    <row r="9" spans="1:38" x14ac:dyDescent="0.25">
      <c r="A9" s="24" t="s">
        <v>445</v>
      </c>
      <c r="B9" s="24" t="s">
        <v>446</v>
      </c>
      <c r="C9" s="24" t="b">
        <f>UPPER(B9)=(Folha4!E2319&amp;Folha4!F2319&amp;Folha4!G2319&amp;Folha4!H2319&amp;Folha4!I2319&amp;Folha4!J2319&amp;Folha4!K2319&amp;Folha4!L2319)</f>
        <v>0</v>
      </c>
    </row>
    <row r="11" spans="1:38" x14ac:dyDescent="0.25">
      <c r="G11" s="37" t="s">
        <v>448</v>
      </c>
      <c r="H11" s="37" t="s">
        <v>454</v>
      </c>
      <c r="I11" s="37" t="s">
        <v>455</v>
      </c>
      <c r="J11" s="37" t="s">
        <v>456</v>
      </c>
      <c r="K11" s="37" t="s">
        <v>457</v>
      </c>
      <c r="L11" s="37" t="s">
        <v>458</v>
      </c>
      <c r="M11" s="37" t="s">
        <v>459</v>
      </c>
      <c r="N11" s="37" t="s">
        <v>460</v>
      </c>
      <c r="O11" s="37" t="s">
        <v>461</v>
      </c>
      <c r="P11" s="37" t="s">
        <v>462</v>
      </c>
      <c r="Q11" s="37" t="s">
        <v>463</v>
      </c>
      <c r="R11" s="37" t="s">
        <v>464</v>
      </c>
      <c r="S11" s="37" t="s">
        <v>465</v>
      </c>
      <c r="T11" s="37" t="s">
        <v>466</v>
      </c>
      <c r="U11" s="37" t="s">
        <v>467</v>
      </c>
      <c r="V11" s="37" t="s">
        <v>468</v>
      </c>
      <c r="W11" s="37" t="s">
        <v>469</v>
      </c>
      <c r="X11" s="37" t="s">
        <v>470</v>
      </c>
      <c r="Y11" s="37" t="s">
        <v>471</v>
      </c>
      <c r="Z11" s="37" t="s">
        <v>472</v>
      </c>
      <c r="AA11" s="37" t="s">
        <v>473</v>
      </c>
      <c r="AB11" s="37" t="s">
        <v>474</v>
      </c>
      <c r="AC11" s="37" t="s">
        <v>475</v>
      </c>
      <c r="AD11" s="37" t="s">
        <v>476</v>
      </c>
      <c r="AE11" s="37" t="s">
        <v>477</v>
      </c>
      <c r="AF11" s="37" t="s">
        <v>478</v>
      </c>
      <c r="AG11" s="37" t="s">
        <v>479</v>
      </c>
      <c r="AH11" s="37" t="s">
        <v>480</v>
      </c>
      <c r="AI11" s="37" t="s">
        <v>481</v>
      </c>
      <c r="AJ11" s="37" t="s">
        <v>482</v>
      </c>
      <c r="AK11" s="37" t="s">
        <v>483</v>
      </c>
      <c r="AL11" s="37" t="s">
        <v>484</v>
      </c>
    </row>
    <row r="12" spans="1:38" x14ac:dyDescent="0.25">
      <c r="F12" s="36" t="s">
        <v>447</v>
      </c>
    </row>
    <row r="13" spans="1:38" x14ac:dyDescent="0.25">
      <c r="F13" s="36">
        <v>0</v>
      </c>
      <c r="G13">
        <v>219</v>
      </c>
      <c r="H13">
        <v>120</v>
      </c>
      <c r="I13">
        <v>25</v>
      </c>
      <c r="J13">
        <v>75</v>
      </c>
      <c r="K13">
        <v>183</v>
      </c>
      <c r="L13">
        <v>111</v>
      </c>
      <c r="M13">
        <v>165</v>
      </c>
      <c r="N13">
        <v>60</v>
      </c>
      <c r="O13">
        <v>93</v>
      </c>
      <c r="P13">
        <v>185</v>
      </c>
      <c r="Q13">
        <v>79</v>
      </c>
      <c r="R13">
        <v>59</v>
      </c>
      <c r="S13">
        <v>197</v>
      </c>
      <c r="T13">
        <v>73</v>
      </c>
      <c r="U13">
        <v>212</v>
      </c>
      <c r="V13">
        <v>54</v>
      </c>
      <c r="W13">
        <v>172</v>
      </c>
      <c r="X13">
        <v>246</v>
      </c>
      <c r="Y13">
        <v>29</v>
      </c>
      <c r="Z13">
        <v>153</v>
      </c>
      <c r="AA13">
        <v>223</v>
      </c>
      <c r="AB13">
        <v>245</v>
      </c>
      <c r="AC13">
        <v>119</v>
      </c>
      <c r="AD13">
        <v>51</v>
      </c>
      <c r="AE13">
        <v>45</v>
      </c>
      <c r="AF13">
        <v>176</v>
      </c>
      <c r="AG13">
        <v>189</v>
      </c>
      <c r="AH13">
        <v>156</v>
      </c>
      <c r="AI13">
        <v>161</v>
      </c>
      <c r="AJ13">
        <v>169</v>
      </c>
      <c r="AK13">
        <v>109</v>
      </c>
      <c r="AL13">
        <v>108</v>
      </c>
    </row>
    <row r="14" spans="1:38" x14ac:dyDescent="0.25">
      <c r="F14" s="36">
        <v>1</v>
      </c>
      <c r="G14">
        <v>91</v>
      </c>
      <c r="H14">
        <v>23</v>
      </c>
      <c r="I14">
        <v>163</v>
      </c>
      <c r="J14">
        <v>79</v>
      </c>
      <c r="K14">
        <v>152</v>
      </c>
      <c r="L14">
        <v>99</v>
      </c>
      <c r="M14">
        <v>109</v>
      </c>
      <c r="N14">
        <v>57</v>
      </c>
      <c r="O14">
        <v>4</v>
      </c>
      <c r="P14">
        <v>102</v>
      </c>
      <c r="Q14">
        <v>147</v>
      </c>
      <c r="R14">
        <v>147</v>
      </c>
      <c r="S14">
        <v>43</v>
      </c>
      <c r="T14">
        <v>44</v>
      </c>
      <c r="U14">
        <v>83</v>
      </c>
      <c r="V14">
        <v>214</v>
      </c>
      <c r="W14">
        <v>238</v>
      </c>
      <c r="X14">
        <v>63</v>
      </c>
      <c r="Y14">
        <v>248</v>
      </c>
      <c r="Z14">
        <v>231</v>
      </c>
      <c r="AA14">
        <v>50</v>
      </c>
      <c r="AB14">
        <v>175</v>
      </c>
      <c r="AC14">
        <v>122</v>
      </c>
      <c r="AD14">
        <v>59</v>
      </c>
      <c r="AE14">
        <v>47</v>
      </c>
      <c r="AF14">
        <v>139</v>
      </c>
      <c r="AG14">
        <v>75</v>
      </c>
      <c r="AH14">
        <v>79</v>
      </c>
      <c r="AI14">
        <v>166</v>
      </c>
      <c r="AJ14">
        <v>62</v>
      </c>
      <c r="AK14">
        <v>13</v>
      </c>
      <c r="AL14">
        <v>7</v>
      </c>
    </row>
    <row r="15" spans="1:38" x14ac:dyDescent="0.25">
      <c r="F15" s="36">
        <v>2</v>
      </c>
      <c r="G15">
        <v>31</v>
      </c>
      <c r="H15">
        <v>181</v>
      </c>
      <c r="I15">
        <v>151</v>
      </c>
      <c r="J15">
        <v>128</v>
      </c>
      <c r="K15">
        <v>57</v>
      </c>
      <c r="L15">
        <v>22</v>
      </c>
      <c r="M15">
        <v>234</v>
      </c>
      <c r="N15">
        <v>251</v>
      </c>
      <c r="O15">
        <v>246</v>
      </c>
      <c r="P15">
        <v>38</v>
      </c>
      <c r="Q15">
        <v>44</v>
      </c>
      <c r="R15">
        <v>94</v>
      </c>
      <c r="S15">
        <v>89</v>
      </c>
      <c r="T15">
        <v>210</v>
      </c>
      <c r="U15">
        <v>85</v>
      </c>
      <c r="V15">
        <v>108</v>
      </c>
      <c r="W15">
        <v>92</v>
      </c>
      <c r="X15">
        <v>205</v>
      </c>
      <c r="Y15">
        <v>115</v>
      </c>
      <c r="Z15">
        <v>174</v>
      </c>
      <c r="AA15">
        <v>47</v>
      </c>
      <c r="AB15">
        <v>232</v>
      </c>
      <c r="AC15">
        <v>22</v>
      </c>
      <c r="AD15">
        <v>239</v>
      </c>
      <c r="AE15">
        <v>104</v>
      </c>
      <c r="AF15">
        <v>63</v>
      </c>
      <c r="AG15">
        <v>236</v>
      </c>
      <c r="AH15">
        <v>215</v>
      </c>
      <c r="AI15">
        <v>167</v>
      </c>
      <c r="AJ15">
        <v>143</v>
      </c>
      <c r="AK15">
        <v>76</v>
      </c>
      <c r="AL15">
        <v>200</v>
      </c>
    </row>
    <row r="16" spans="1:38" x14ac:dyDescent="0.25">
      <c r="F16" s="36">
        <v>3</v>
      </c>
      <c r="G16">
        <v>168</v>
      </c>
      <c r="H16">
        <v>205</v>
      </c>
      <c r="I16">
        <v>113</v>
      </c>
      <c r="J16">
        <v>80</v>
      </c>
      <c r="K16">
        <v>133</v>
      </c>
      <c r="L16">
        <v>153</v>
      </c>
      <c r="M16">
        <v>155</v>
      </c>
      <c r="N16">
        <v>222</v>
      </c>
      <c r="O16">
        <v>163</v>
      </c>
      <c r="P16">
        <v>52</v>
      </c>
      <c r="Q16">
        <v>147</v>
      </c>
      <c r="R16">
        <v>215</v>
      </c>
      <c r="S16">
        <v>204</v>
      </c>
      <c r="T16">
        <v>58</v>
      </c>
      <c r="U16">
        <v>132</v>
      </c>
      <c r="V16">
        <v>7</v>
      </c>
      <c r="W16">
        <v>255</v>
      </c>
      <c r="X16">
        <v>197</v>
      </c>
      <c r="Y16">
        <v>161</v>
      </c>
      <c r="Z16">
        <v>84</v>
      </c>
      <c r="AA16">
        <v>232</v>
      </c>
      <c r="AB16">
        <v>92</v>
      </c>
      <c r="AC16">
        <v>69</v>
      </c>
      <c r="AD16">
        <v>187</v>
      </c>
      <c r="AE16">
        <v>136</v>
      </c>
      <c r="AF16">
        <v>26</v>
      </c>
      <c r="AG16">
        <v>119</v>
      </c>
      <c r="AH16">
        <v>3</v>
      </c>
      <c r="AI16">
        <v>175</v>
      </c>
      <c r="AJ16">
        <v>42</v>
      </c>
      <c r="AK16">
        <v>149</v>
      </c>
      <c r="AL16">
        <v>175</v>
      </c>
    </row>
    <row r="17" spans="6:38" x14ac:dyDescent="0.25">
      <c r="F17" s="36">
        <v>4</v>
      </c>
      <c r="G17">
        <v>242</v>
      </c>
      <c r="H17">
        <v>2</v>
      </c>
      <c r="I17">
        <v>118</v>
      </c>
      <c r="J17">
        <v>241</v>
      </c>
      <c r="K17">
        <v>237</v>
      </c>
      <c r="L17">
        <v>10</v>
      </c>
      <c r="M17">
        <v>132</v>
      </c>
      <c r="N17">
        <v>48</v>
      </c>
      <c r="O17">
        <v>45</v>
      </c>
      <c r="P17">
        <v>162</v>
      </c>
      <c r="Q17">
        <v>42</v>
      </c>
      <c r="R17">
        <v>139</v>
      </c>
      <c r="S17">
        <v>46</v>
      </c>
      <c r="T17">
        <v>92</v>
      </c>
      <c r="U17">
        <v>181</v>
      </c>
      <c r="V17">
        <v>125</v>
      </c>
      <c r="W17">
        <v>227</v>
      </c>
      <c r="X17">
        <v>181</v>
      </c>
      <c r="Y17">
        <v>188</v>
      </c>
      <c r="Z17">
        <v>70</v>
      </c>
      <c r="AA17">
        <v>112</v>
      </c>
      <c r="AB17">
        <v>58</v>
      </c>
      <c r="AC17">
        <v>168</v>
      </c>
      <c r="AD17">
        <v>106</v>
      </c>
      <c r="AE17">
        <v>190</v>
      </c>
      <c r="AF17">
        <v>91</v>
      </c>
      <c r="AG17">
        <v>184</v>
      </c>
      <c r="AH17">
        <v>198</v>
      </c>
      <c r="AI17">
        <v>165</v>
      </c>
      <c r="AJ17">
        <v>214</v>
      </c>
      <c r="AK17">
        <v>191</v>
      </c>
      <c r="AL17">
        <v>51</v>
      </c>
    </row>
    <row r="18" spans="6:38" x14ac:dyDescent="0.25">
      <c r="F18" s="36">
        <v>5</v>
      </c>
      <c r="G18">
        <v>38</v>
      </c>
      <c r="H18">
        <v>71</v>
      </c>
      <c r="I18">
        <v>206</v>
      </c>
      <c r="J18">
        <v>69</v>
      </c>
      <c r="K18">
        <v>165</v>
      </c>
      <c r="L18">
        <v>79</v>
      </c>
      <c r="M18">
        <v>184</v>
      </c>
      <c r="N18">
        <v>28</v>
      </c>
      <c r="O18">
        <v>165</v>
      </c>
      <c r="P18">
        <v>226</v>
      </c>
      <c r="Q18">
        <v>122</v>
      </c>
      <c r="R18">
        <v>82</v>
      </c>
      <c r="S18">
        <v>128</v>
      </c>
      <c r="T18">
        <v>70</v>
      </c>
      <c r="U18">
        <v>250</v>
      </c>
      <c r="V18">
        <v>227</v>
      </c>
      <c r="W18">
        <v>51</v>
      </c>
      <c r="X18">
        <v>224</v>
      </c>
      <c r="Y18">
        <v>239</v>
      </c>
      <c r="Z18">
        <v>35</v>
      </c>
      <c r="AA18">
        <v>197</v>
      </c>
      <c r="AB18">
        <v>78</v>
      </c>
      <c r="AC18">
        <v>180</v>
      </c>
      <c r="AD18">
        <v>173</v>
      </c>
      <c r="AE18">
        <v>86</v>
      </c>
      <c r="AF18">
        <v>43</v>
      </c>
      <c r="AG18">
        <v>224</v>
      </c>
      <c r="AH18">
        <v>217</v>
      </c>
      <c r="AI18">
        <v>51</v>
      </c>
      <c r="AJ18">
        <v>126</v>
      </c>
      <c r="AK18">
        <v>0</v>
      </c>
      <c r="AL18">
        <v>71</v>
      </c>
    </row>
    <row r="19" spans="6:38" x14ac:dyDescent="0.25">
      <c r="F19" s="36">
        <v>6</v>
      </c>
      <c r="G19">
        <v>191</v>
      </c>
      <c r="H19">
        <v>144</v>
      </c>
      <c r="I19">
        <v>175</v>
      </c>
      <c r="J19">
        <v>51</v>
      </c>
      <c r="K19">
        <v>30</v>
      </c>
      <c r="L19">
        <v>98</v>
      </c>
      <c r="M19">
        <v>246</v>
      </c>
      <c r="N19">
        <v>219</v>
      </c>
      <c r="O19">
        <v>159</v>
      </c>
      <c r="P19">
        <v>19</v>
      </c>
      <c r="Q19">
        <v>84</v>
      </c>
      <c r="R19">
        <v>96</v>
      </c>
      <c r="S19">
        <v>94</v>
      </c>
      <c r="T19">
        <v>230</v>
      </c>
      <c r="U19">
        <v>41</v>
      </c>
      <c r="V19">
        <v>220</v>
      </c>
      <c r="W19">
        <v>255</v>
      </c>
      <c r="X19">
        <v>28</v>
      </c>
      <c r="Y19">
        <v>38</v>
      </c>
      <c r="Z19">
        <v>219</v>
      </c>
      <c r="AA19">
        <v>63</v>
      </c>
      <c r="AB19">
        <v>3</v>
      </c>
      <c r="AC19">
        <v>223</v>
      </c>
      <c r="AD19">
        <v>147</v>
      </c>
      <c r="AE19">
        <v>173</v>
      </c>
      <c r="AF19">
        <v>98</v>
      </c>
      <c r="AG19">
        <v>35</v>
      </c>
      <c r="AH19">
        <v>173</v>
      </c>
      <c r="AI19">
        <v>92</v>
      </c>
      <c r="AJ19">
        <v>196</v>
      </c>
      <c r="AK19">
        <v>161</v>
      </c>
      <c r="AL19">
        <v>39</v>
      </c>
    </row>
    <row r="20" spans="6:38" x14ac:dyDescent="0.25">
      <c r="F20" s="36">
        <v>7</v>
      </c>
      <c r="G20">
        <v>150</v>
      </c>
      <c r="H20">
        <v>131</v>
      </c>
      <c r="I20">
        <v>229</v>
      </c>
      <c r="J20">
        <v>62</v>
      </c>
      <c r="K20">
        <v>100</v>
      </c>
      <c r="L20">
        <v>183</v>
      </c>
      <c r="M20">
        <v>106</v>
      </c>
      <c r="N20">
        <v>204</v>
      </c>
      <c r="O20">
        <v>147</v>
      </c>
      <c r="P20">
        <v>254</v>
      </c>
      <c r="Q20">
        <v>197</v>
      </c>
      <c r="R20">
        <v>165</v>
      </c>
      <c r="S20">
        <v>174</v>
      </c>
      <c r="T20">
        <v>231</v>
      </c>
      <c r="U20">
        <v>207</v>
      </c>
      <c r="V20">
        <v>52</v>
      </c>
      <c r="W20">
        <v>160</v>
      </c>
      <c r="X20">
        <v>25</v>
      </c>
      <c r="Y20">
        <v>221</v>
      </c>
      <c r="Z20">
        <v>188</v>
      </c>
      <c r="AA20">
        <v>108</v>
      </c>
      <c r="AB20">
        <v>226</v>
      </c>
      <c r="AC20">
        <v>201</v>
      </c>
      <c r="AD20">
        <v>116</v>
      </c>
      <c r="AE20">
        <v>140</v>
      </c>
      <c r="AF20">
        <v>44</v>
      </c>
      <c r="AG20">
        <v>32</v>
      </c>
      <c r="AH20">
        <v>60</v>
      </c>
      <c r="AI20">
        <v>91</v>
      </c>
      <c r="AJ20">
        <v>13</v>
      </c>
      <c r="AK20">
        <v>233</v>
      </c>
      <c r="AL20">
        <v>162</v>
      </c>
    </row>
    <row r="21" spans="6:38" x14ac:dyDescent="0.25">
      <c r="F21" s="36">
        <v>8</v>
      </c>
      <c r="G21">
        <v>121</v>
      </c>
      <c r="H21">
        <v>50</v>
      </c>
      <c r="I21">
        <v>81</v>
      </c>
      <c r="J21">
        <v>249</v>
      </c>
      <c r="K21">
        <v>218</v>
      </c>
      <c r="L21">
        <v>205</v>
      </c>
      <c r="M21">
        <v>27</v>
      </c>
      <c r="N21">
        <v>253</v>
      </c>
      <c r="O21">
        <v>140</v>
      </c>
      <c r="P21">
        <v>119</v>
      </c>
      <c r="Q21">
        <v>110</v>
      </c>
      <c r="R21">
        <v>129</v>
      </c>
      <c r="S21">
        <v>182</v>
      </c>
      <c r="T21">
        <v>187</v>
      </c>
      <c r="U21">
        <v>242</v>
      </c>
      <c r="V21">
        <v>161</v>
      </c>
      <c r="W21">
        <v>10</v>
      </c>
      <c r="X21">
        <v>246</v>
      </c>
      <c r="Y21">
        <v>41</v>
      </c>
      <c r="Z21">
        <v>153</v>
      </c>
      <c r="AA21">
        <v>205</v>
      </c>
      <c r="AB21">
        <v>109</v>
      </c>
      <c r="AC21">
        <v>248</v>
      </c>
      <c r="AD21">
        <v>73</v>
      </c>
      <c r="AE21">
        <v>28</v>
      </c>
      <c r="AF21">
        <v>124</v>
      </c>
      <c r="AG21">
        <v>28</v>
      </c>
      <c r="AH21">
        <v>114</v>
      </c>
      <c r="AI21">
        <v>219</v>
      </c>
      <c r="AJ21">
        <v>28</v>
      </c>
      <c r="AK21">
        <v>110</v>
      </c>
      <c r="AL21">
        <v>104</v>
      </c>
    </row>
    <row r="22" spans="6:38" x14ac:dyDescent="0.25">
      <c r="F22" s="36">
        <v>9</v>
      </c>
      <c r="G22">
        <v>246</v>
      </c>
      <c r="H22">
        <v>190</v>
      </c>
      <c r="I22">
        <v>154</v>
      </c>
      <c r="J22">
        <v>10</v>
      </c>
      <c r="K22">
        <v>151</v>
      </c>
      <c r="L22">
        <v>203</v>
      </c>
      <c r="M22">
        <v>137</v>
      </c>
      <c r="N22">
        <v>97</v>
      </c>
      <c r="O22">
        <v>11</v>
      </c>
      <c r="P22">
        <v>190</v>
      </c>
      <c r="Q22">
        <v>17</v>
      </c>
      <c r="R22">
        <v>165</v>
      </c>
      <c r="S22">
        <v>175</v>
      </c>
      <c r="T22">
        <v>157</v>
      </c>
      <c r="U22">
        <v>77</v>
      </c>
      <c r="V22">
        <v>9</v>
      </c>
      <c r="W22">
        <v>192</v>
      </c>
      <c r="X22">
        <v>149</v>
      </c>
      <c r="Y22">
        <v>76</v>
      </c>
      <c r="Z22">
        <v>94</v>
      </c>
      <c r="AA22">
        <v>5</v>
      </c>
      <c r="AB22">
        <v>200</v>
      </c>
      <c r="AC22">
        <v>79</v>
      </c>
      <c r="AD22">
        <v>100</v>
      </c>
      <c r="AE22">
        <v>45</v>
      </c>
      <c r="AF22">
        <v>181</v>
      </c>
      <c r="AG22">
        <v>112</v>
      </c>
      <c r="AH22">
        <v>164</v>
      </c>
      <c r="AI22">
        <v>171</v>
      </c>
      <c r="AJ22">
        <v>215</v>
      </c>
      <c r="AK22">
        <v>129</v>
      </c>
      <c r="AL22">
        <v>102</v>
      </c>
    </row>
    <row r="23" spans="6:38" x14ac:dyDescent="0.25">
      <c r="F23" s="36">
        <v>10</v>
      </c>
      <c r="G23">
        <v>149</v>
      </c>
      <c r="H23">
        <v>40</v>
      </c>
      <c r="I23">
        <v>19</v>
      </c>
      <c r="J23">
        <v>199</v>
      </c>
      <c r="K23">
        <v>153</v>
      </c>
      <c r="L23">
        <v>14</v>
      </c>
      <c r="M23">
        <v>72</v>
      </c>
      <c r="N23">
        <v>18</v>
      </c>
      <c r="O23">
        <v>244</v>
      </c>
      <c r="P23">
        <v>11</v>
      </c>
      <c r="Q23">
        <v>119</v>
      </c>
      <c r="R23">
        <v>123</v>
      </c>
      <c r="S23">
        <v>238</v>
      </c>
      <c r="T23">
        <v>238</v>
      </c>
      <c r="U23">
        <v>12</v>
      </c>
      <c r="V23">
        <v>125</v>
      </c>
      <c r="W23">
        <v>213</v>
      </c>
      <c r="X23">
        <v>29</v>
      </c>
      <c r="Y23">
        <v>180</v>
      </c>
      <c r="Z23">
        <v>176</v>
      </c>
      <c r="AA23">
        <v>10</v>
      </c>
      <c r="AB23">
        <v>2</v>
      </c>
      <c r="AC23">
        <v>220</v>
      </c>
      <c r="AD23">
        <v>203</v>
      </c>
      <c r="AE23">
        <v>219</v>
      </c>
      <c r="AF23">
        <v>50</v>
      </c>
      <c r="AG23">
        <v>159</v>
      </c>
      <c r="AH23">
        <v>250</v>
      </c>
      <c r="AI23">
        <v>139</v>
      </c>
      <c r="AJ23">
        <v>61</v>
      </c>
      <c r="AK23">
        <v>166</v>
      </c>
      <c r="AL23">
        <v>116</v>
      </c>
    </row>
    <row r="24" spans="6:38" x14ac:dyDescent="0.25">
      <c r="F24" s="36">
        <v>11</v>
      </c>
      <c r="G24">
        <v>172</v>
      </c>
      <c r="H24">
        <v>196</v>
      </c>
      <c r="I24">
        <v>96</v>
      </c>
      <c r="J24">
        <v>86</v>
      </c>
      <c r="K24">
        <v>197</v>
      </c>
      <c r="L24">
        <v>59</v>
      </c>
      <c r="M24">
        <v>149</v>
      </c>
      <c r="N24">
        <v>79</v>
      </c>
      <c r="O24">
        <v>149</v>
      </c>
      <c r="P24">
        <v>115</v>
      </c>
      <c r="Q24">
        <v>70</v>
      </c>
      <c r="R24">
        <v>63</v>
      </c>
      <c r="S24">
        <v>81</v>
      </c>
      <c r="T24">
        <v>86</v>
      </c>
      <c r="U24">
        <v>35</v>
      </c>
      <c r="V24">
        <v>20</v>
      </c>
      <c r="W24">
        <v>169</v>
      </c>
      <c r="X24">
        <v>146</v>
      </c>
      <c r="Y24">
        <v>247</v>
      </c>
      <c r="Z24">
        <v>42</v>
      </c>
      <c r="AA24">
        <v>3</v>
      </c>
      <c r="AB24">
        <v>70</v>
      </c>
      <c r="AC24">
        <v>68</v>
      </c>
      <c r="AD24">
        <v>195</v>
      </c>
      <c r="AE24">
        <v>158</v>
      </c>
      <c r="AF24">
        <v>11</v>
      </c>
      <c r="AG24">
        <v>41</v>
      </c>
      <c r="AH24">
        <v>43</v>
      </c>
      <c r="AI24">
        <v>167</v>
      </c>
      <c r="AJ24">
        <v>126</v>
      </c>
      <c r="AK24">
        <v>42</v>
      </c>
      <c r="AL24">
        <v>154</v>
      </c>
    </row>
    <row r="25" spans="6:38" x14ac:dyDescent="0.25">
      <c r="F25" s="36">
        <v>12</v>
      </c>
      <c r="G25">
        <v>119</v>
      </c>
      <c r="H25">
        <v>121</v>
      </c>
      <c r="I25">
        <v>194</v>
      </c>
      <c r="J25">
        <v>54</v>
      </c>
      <c r="K25">
        <v>145</v>
      </c>
      <c r="L25">
        <v>22</v>
      </c>
      <c r="M25">
        <v>247</v>
      </c>
      <c r="N25">
        <v>174</v>
      </c>
      <c r="O25">
        <v>27</v>
      </c>
      <c r="P25">
        <v>41</v>
      </c>
      <c r="Q25">
        <v>22</v>
      </c>
      <c r="R25">
        <v>58</v>
      </c>
      <c r="S25">
        <v>252</v>
      </c>
      <c r="T25">
        <v>163</v>
      </c>
      <c r="U25">
        <v>20</v>
      </c>
      <c r="V25">
        <v>169</v>
      </c>
      <c r="W25">
        <v>107</v>
      </c>
      <c r="X25">
        <v>28</v>
      </c>
      <c r="Y25">
        <v>36</v>
      </c>
      <c r="Z25">
        <v>197</v>
      </c>
      <c r="AA25">
        <v>60</v>
      </c>
      <c r="AB25">
        <v>159</v>
      </c>
      <c r="AC25">
        <v>17</v>
      </c>
      <c r="AD25">
        <v>72</v>
      </c>
      <c r="AE25">
        <v>232</v>
      </c>
      <c r="AF25">
        <v>12</v>
      </c>
      <c r="AG25">
        <v>24</v>
      </c>
      <c r="AH25">
        <v>1</v>
      </c>
      <c r="AI25">
        <v>86</v>
      </c>
      <c r="AJ25">
        <v>43</v>
      </c>
      <c r="AK25">
        <v>183</v>
      </c>
      <c r="AL25">
        <v>114</v>
      </c>
    </row>
    <row r="26" spans="6:38" x14ac:dyDescent="0.25">
      <c r="F26" s="36">
        <v>13</v>
      </c>
      <c r="G26">
        <v>46</v>
      </c>
      <c r="H26">
        <v>98</v>
      </c>
      <c r="I26">
        <v>224</v>
      </c>
      <c r="J26">
        <v>26</v>
      </c>
      <c r="K26">
        <v>57</v>
      </c>
      <c r="L26">
        <v>40</v>
      </c>
      <c r="M26">
        <v>181</v>
      </c>
      <c r="N26">
        <v>189</v>
      </c>
      <c r="O26">
        <v>134</v>
      </c>
      <c r="P26">
        <v>103</v>
      </c>
      <c r="Q26">
        <v>89</v>
      </c>
      <c r="R26">
        <v>80</v>
      </c>
      <c r="S26">
        <v>14</v>
      </c>
      <c r="T26">
        <v>240</v>
      </c>
      <c r="U26">
        <v>121</v>
      </c>
      <c r="V26">
        <v>123</v>
      </c>
      <c r="W26">
        <v>89</v>
      </c>
      <c r="X26">
        <v>237</v>
      </c>
      <c r="Y26">
        <v>229</v>
      </c>
      <c r="Z26">
        <v>85</v>
      </c>
      <c r="AA26">
        <v>252</v>
      </c>
      <c r="AB26">
        <v>239</v>
      </c>
      <c r="AC26">
        <v>253</v>
      </c>
      <c r="AD26">
        <v>134</v>
      </c>
      <c r="AE26">
        <v>54</v>
      </c>
      <c r="AF26">
        <v>156</v>
      </c>
      <c r="AG26">
        <v>127</v>
      </c>
      <c r="AH26">
        <v>254</v>
      </c>
      <c r="AI26">
        <v>251</v>
      </c>
      <c r="AJ26">
        <v>18</v>
      </c>
      <c r="AK26">
        <v>170</v>
      </c>
      <c r="AL26">
        <v>115</v>
      </c>
    </row>
    <row r="27" spans="6:38" x14ac:dyDescent="0.25">
      <c r="F27" s="36">
        <v>14</v>
      </c>
      <c r="G27">
        <v>221</v>
      </c>
      <c r="H27">
        <v>193</v>
      </c>
      <c r="I27">
        <v>224</v>
      </c>
      <c r="J27">
        <v>226</v>
      </c>
      <c r="K27">
        <v>230</v>
      </c>
      <c r="L27">
        <v>235</v>
      </c>
      <c r="M27">
        <v>157</v>
      </c>
      <c r="N27">
        <v>7</v>
      </c>
      <c r="O27">
        <v>37</v>
      </c>
      <c r="P27">
        <v>242</v>
      </c>
      <c r="Q27">
        <v>35</v>
      </c>
      <c r="R27">
        <v>134</v>
      </c>
      <c r="S27">
        <v>0</v>
      </c>
      <c r="T27">
        <v>53</v>
      </c>
      <c r="U27">
        <v>188</v>
      </c>
      <c r="V27">
        <v>230</v>
      </c>
      <c r="W27">
        <v>67</v>
      </c>
      <c r="X27">
        <v>254</v>
      </c>
      <c r="Y27">
        <v>36</v>
      </c>
      <c r="Z27">
        <v>58</v>
      </c>
      <c r="AA27">
        <v>85</v>
      </c>
      <c r="AB27">
        <v>71</v>
      </c>
      <c r="AC27">
        <v>54</v>
      </c>
      <c r="AD27">
        <v>103</v>
      </c>
      <c r="AE27">
        <v>69</v>
      </c>
      <c r="AF27">
        <v>70</v>
      </c>
      <c r="AG27">
        <v>58</v>
      </c>
      <c r="AH27">
        <v>82</v>
      </c>
      <c r="AI27">
        <v>253</v>
      </c>
      <c r="AJ27">
        <v>228</v>
      </c>
      <c r="AK27">
        <v>50</v>
      </c>
      <c r="AL27">
        <v>224</v>
      </c>
    </row>
    <row r="28" spans="6:38" x14ac:dyDescent="0.25">
      <c r="F28" s="36">
        <v>15</v>
      </c>
      <c r="G28">
        <v>104</v>
      </c>
      <c r="H28">
        <v>197</v>
      </c>
      <c r="I28">
        <v>191</v>
      </c>
      <c r="J28">
        <v>82</v>
      </c>
      <c r="K28">
        <v>115</v>
      </c>
      <c r="L28">
        <v>5</v>
      </c>
      <c r="M28">
        <v>103</v>
      </c>
      <c r="N28">
        <v>245</v>
      </c>
      <c r="O28">
        <v>69</v>
      </c>
      <c r="P28">
        <v>129</v>
      </c>
      <c r="Q28">
        <v>154</v>
      </c>
      <c r="R28">
        <v>124</v>
      </c>
      <c r="S28">
        <v>171</v>
      </c>
      <c r="T28">
        <v>34</v>
      </c>
      <c r="U28">
        <v>239</v>
      </c>
      <c r="V28">
        <v>114</v>
      </c>
      <c r="W28">
        <v>84</v>
      </c>
      <c r="X28">
        <v>171</v>
      </c>
      <c r="Y28">
        <v>66</v>
      </c>
      <c r="Z28">
        <v>80</v>
      </c>
      <c r="AA28">
        <v>197</v>
      </c>
      <c r="AB28">
        <v>129</v>
      </c>
      <c r="AC28">
        <v>141</v>
      </c>
      <c r="AD28">
        <v>191</v>
      </c>
      <c r="AE28">
        <v>86</v>
      </c>
      <c r="AF28">
        <v>216</v>
      </c>
      <c r="AG28">
        <v>153</v>
      </c>
      <c r="AH28">
        <v>241</v>
      </c>
      <c r="AI28">
        <v>141</v>
      </c>
      <c r="AJ28">
        <v>197</v>
      </c>
      <c r="AK28">
        <v>248</v>
      </c>
      <c r="AL28">
        <v>0</v>
      </c>
    </row>
    <row r="29" spans="6:38" x14ac:dyDescent="0.25">
      <c r="F29" s="36">
        <v>16</v>
      </c>
      <c r="G29">
        <v>144</v>
      </c>
      <c r="H29">
        <v>74</v>
      </c>
      <c r="I29">
        <v>131</v>
      </c>
      <c r="J29">
        <v>47</v>
      </c>
      <c r="K29">
        <v>83</v>
      </c>
      <c r="L29">
        <v>136</v>
      </c>
      <c r="M29">
        <v>40</v>
      </c>
      <c r="N29">
        <v>207</v>
      </c>
      <c r="O29">
        <v>254</v>
      </c>
      <c r="P29">
        <v>245</v>
      </c>
      <c r="Q29">
        <v>34</v>
      </c>
      <c r="R29">
        <v>40</v>
      </c>
      <c r="S29">
        <v>82</v>
      </c>
      <c r="T29">
        <v>69</v>
      </c>
      <c r="U29">
        <v>124</v>
      </c>
      <c r="V29">
        <v>135</v>
      </c>
      <c r="W29">
        <v>45</v>
      </c>
      <c r="X29">
        <v>186</v>
      </c>
      <c r="Y29">
        <v>202</v>
      </c>
      <c r="Z29">
        <v>238</v>
      </c>
      <c r="AA29">
        <v>231</v>
      </c>
      <c r="AB29">
        <v>36</v>
      </c>
      <c r="AC29">
        <v>131</v>
      </c>
      <c r="AD29">
        <v>121</v>
      </c>
      <c r="AE29">
        <v>85</v>
      </c>
      <c r="AF29">
        <v>160</v>
      </c>
      <c r="AG29">
        <v>11</v>
      </c>
      <c r="AH29">
        <v>112</v>
      </c>
      <c r="AI29">
        <v>202</v>
      </c>
      <c r="AJ29">
        <v>135</v>
      </c>
      <c r="AK29">
        <v>23</v>
      </c>
      <c r="AL29">
        <v>12</v>
      </c>
    </row>
    <row r="30" spans="6:38" x14ac:dyDescent="0.25">
      <c r="F30" s="36">
        <v>17</v>
      </c>
      <c r="G30">
        <v>128</v>
      </c>
      <c r="H30">
        <v>13</v>
      </c>
      <c r="I30">
        <v>55</v>
      </c>
      <c r="J30">
        <v>207</v>
      </c>
      <c r="K30">
        <v>70</v>
      </c>
      <c r="L30">
        <v>6</v>
      </c>
      <c r="M30">
        <v>152</v>
      </c>
      <c r="N30">
        <v>244</v>
      </c>
      <c r="O30">
        <v>70</v>
      </c>
      <c r="P30">
        <v>215</v>
      </c>
      <c r="Q30">
        <v>183</v>
      </c>
      <c r="R30">
        <v>233</v>
      </c>
      <c r="S30">
        <v>115</v>
      </c>
      <c r="T30">
        <v>197</v>
      </c>
      <c r="U30">
        <v>164</v>
      </c>
      <c r="V30">
        <v>216</v>
      </c>
      <c r="W30">
        <v>120</v>
      </c>
      <c r="X30">
        <v>195</v>
      </c>
      <c r="Y30">
        <v>231</v>
      </c>
      <c r="Z30">
        <v>51</v>
      </c>
      <c r="AA30">
        <v>182</v>
      </c>
      <c r="AB30">
        <v>178</v>
      </c>
      <c r="AC30">
        <v>223</v>
      </c>
      <c r="AD30">
        <v>1</v>
      </c>
      <c r="AE30">
        <v>164</v>
      </c>
      <c r="AF30">
        <v>194</v>
      </c>
      <c r="AG30">
        <v>222</v>
      </c>
      <c r="AH30">
        <v>25</v>
      </c>
      <c r="AI30">
        <v>72</v>
      </c>
      <c r="AJ30">
        <v>102</v>
      </c>
      <c r="AK30">
        <v>170</v>
      </c>
      <c r="AL30">
        <v>59</v>
      </c>
    </row>
    <row r="31" spans="6:38" x14ac:dyDescent="0.25">
      <c r="F31" s="36">
        <v>18</v>
      </c>
      <c r="G31">
        <v>224</v>
      </c>
      <c r="H31">
        <v>225</v>
      </c>
      <c r="I31">
        <v>74</v>
      </c>
      <c r="J31">
        <v>100</v>
      </c>
      <c r="K31">
        <v>67</v>
      </c>
      <c r="L31">
        <v>255</v>
      </c>
      <c r="M31">
        <v>30</v>
      </c>
      <c r="N31">
        <v>109</v>
      </c>
      <c r="O31">
        <v>237</v>
      </c>
      <c r="P31">
        <v>51</v>
      </c>
      <c r="Q31">
        <v>137</v>
      </c>
      <c r="R31">
        <v>127</v>
      </c>
      <c r="S31">
        <v>20</v>
      </c>
      <c r="T31">
        <v>61</v>
      </c>
      <c r="U31">
        <v>172</v>
      </c>
      <c r="V31">
        <v>138</v>
      </c>
      <c r="W31">
        <v>165</v>
      </c>
      <c r="X31">
        <v>38</v>
      </c>
      <c r="Y31">
        <v>194</v>
      </c>
      <c r="Z31">
        <v>188</v>
      </c>
      <c r="AA31">
        <v>240</v>
      </c>
      <c r="AB31">
        <v>91</v>
      </c>
      <c r="AC31">
        <v>51</v>
      </c>
      <c r="AD31">
        <v>36</v>
      </c>
      <c r="AE31">
        <v>185</v>
      </c>
      <c r="AF31">
        <v>173</v>
      </c>
      <c r="AG31">
        <v>239</v>
      </c>
      <c r="AH31">
        <v>0</v>
      </c>
      <c r="AI31">
        <v>61</v>
      </c>
      <c r="AJ31">
        <v>172</v>
      </c>
      <c r="AK31">
        <v>248</v>
      </c>
      <c r="AL31">
        <v>239</v>
      </c>
    </row>
    <row r="32" spans="6:38" x14ac:dyDescent="0.25">
      <c r="F32" s="36">
        <v>19</v>
      </c>
      <c r="G32">
        <v>92</v>
      </c>
      <c r="H32">
        <v>6</v>
      </c>
      <c r="I32">
        <v>71</v>
      </c>
      <c r="J32">
        <v>139</v>
      </c>
      <c r="K32">
        <v>0</v>
      </c>
      <c r="L32">
        <v>48</v>
      </c>
      <c r="M32">
        <v>246</v>
      </c>
      <c r="N32">
        <v>240</v>
      </c>
      <c r="O32">
        <v>68</v>
      </c>
      <c r="P32">
        <v>127</v>
      </c>
      <c r="Q32">
        <v>166</v>
      </c>
      <c r="R32">
        <v>118</v>
      </c>
      <c r="S32">
        <v>253</v>
      </c>
      <c r="T32">
        <v>30</v>
      </c>
      <c r="U32">
        <v>66</v>
      </c>
      <c r="V32">
        <v>185</v>
      </c>
      <c r="W32">
        <v>245</v>
      </c>
      <c r="X32">
        <v>67</v>
      </c>
      <c r="Y32">
        <v>2</v>
      </c>
      <c r="Z32">
        <v>67</v>
      </c>
      <c r="AA32">
        <v>160</v>
      </c>
      <c r="AB32">
        <v>88</v>
      </c>
      <c r="AC32">
        <v>44</v>
      </c>
      <c r="AD32">
        <v>47</v>
      </c>
      <c r="AE32">
        <v>134</v>
      </c>
      <c r="AF32">
        <v>136</v>
      </c>
      <c r="AG32">
        <v>89</v>
      </c>
      <c r="AH32">
        <v>128</v>
      </c>
      <c r="AI32">
        <v>159</v>
      </c>
      <c r="AJ32">
        <v>235</v>
      </c>
      <c r="AK32">
        <v>212</v>
      </c>
      <c r="AL32">
        <v>147</v>
      </c>
    </row>
    <row r="33" spans="6:38" x14ac:dyDescent="0.25">
      <c r="F33" s="36">
        <v>20</v>
      </c>
      <c r="G33">
        <v>129</v>
      </c>
      <c r="H33">
        <v>210</v>
      </c>
      <c r="I33">
        <v>33</v>
      </c>
      <c r="J33">
        <v>108</v>
      </c>
      <c r="K33">
        <v>29</v>
      </c>
      <c r="L33">
        <v>139</v>
      </c>
      <c r="M33">
        <v>144</v>
      </c>
      <c r="N33">
        <v>158</v>
      </c>
      <c r="O33">
        <v>19</v>
      </c>
      <c r="P33">
        <v>86</v>
      </c>
      <c r="Q33">
        <v>19</v>
      </c>
      <c r="R33">
        <v>106</v>
      </c>
      <c r="S33">
        <v>110</v>
      </c>
      <c r="T33">
        <v>38</v>
      </c>
      <c r="U33">
        <v>152</v>
      </c>
      <c r="V33">
        <v>29</v>
      </c>
      <c r="W33">
        <v>55</v>
      </c>
      <c r="X33">
        <v>212</v>
      </c>
      <c r="Y33">
        <v>57</v>
      </c>
      <c r="Z33">
        <v>71</v>
      </c>
      <c r="AA33">
        <v>195</v>
      </c>
      <c r="AB33">
        <v>22</v>
      </c>
      <c r="AC33">
        <v>128</v>
      </c>
      <c r="AD33">
        <v>78</v>
      </c>
      <c r="AE33">
        <v>88</v>
      </c>
      <c r="AF33">
        <v>75</v>
      </c>
      <c r="AG33">
        <v>149</v>
      </c>
      <c r="AH33">
        <v>199</v>
      </c>
      <c r="AI33">
        <v>231</v>
      </c>
      <c r="AJ33">
        <v>103</v>
      </c>
      <c r="AK33">
        <v>49</v>
      </c>
      <c r="AL33">
        <v>166</v>
      </c>
    </row>
    <row r="34" spans="6:38" x14ac:dyDescent="0.25">
      <c r="F34" s="36">
        <v>21</v>
      </c>
      <c r="G34">
        <v>92</v>
      </c>
      <c r="H34">
        <v>209</v>
      </c>
      <c r="I34">
        <v>0</v>
      </c>
      <c r="J34">
        <v>92</v>
      </c>
      <c r="K34">
        <v>191</v>
      </c>
      <c r="L34">
        <v>145</v>
      </c>
      <c r="M34">
        <v>233</v>
      </c>
      <c r="N34">
        <v>132</v>
      </c>
      <c r="O34">
        <v>100</v>
      </c>
      <c r="P34">
        <v>57</v>
      </c>
      <c r="Q34">
        <v>247</v>
      </c>
      <c r="R34">
        <v>69</v>
      </c>
      <c r="S34">
        <v>162</v>
      </c>
      <c r="T34">
        <v>255</v>
      </c>
      <c r="U34">
        <v>212</v>
      </c>
      <c r="V34">
        <v>223</v>
      </c>
      <c r="W34">
        <v>14</v>
      </c>
      <c r="X34">
        <v>84</v>
      </c>
      <c r="Y34">
        <v>141</v>
      </c>
      <c r="Z34">
        <v>255</v>
      </c>
      <c r="AA34">
        <v>174</v>
      </c>
      <c r="AB34">
        <v>75</v>
      </c>
      <c r="AC34">
        <v>52</v>
      </c>
      <c r="AD34">
        <v>44</v>
      </c>
      <c r="AE34">
        <v>2</v>
      </c>
      <c r="AF34">
        <v>205</v>
      </c>
      <c r="AG34">
        <v>165</v>
      </c>
      <c r="AH34">
        <v>156</v>
      </c>
      <c r="AI34">
        <v>1</v>
      </c>
      <c r="AJ34">
        <v>182</v>
      </c>
      <c r="AK34">
        <v>78</v>
      </c>
      <c r="AL34">
        <v>203</v>
      </c>
    </row>
    <row r="35" spans="6:38" x14ac:dyDescent="0.25">
      <c r="F35" s="36">
        <v>22</v>
      </c>
      <c r="G35">
        <v>137</v>
      </c>
      <c r="H35">
        <v>232</v>
      </c>
      <c r="I35">
        <v>200</v>
      </c>
      <c r="J35">
        <v>65</v>
      </c>
      <c r="K35">
        <v>107</v>
      </c>
      <c r="L35">
        <v>63</v>
      </c>
      <c r="M35">
        <v>145</v>
      </c>
      <c r="N35">
        <v>225</v>
      </c>
      <c r="O35">
        <v>24</v>
      </c>
      <c r="P35">
        <v>50</v>
      </c>
      <c r="Q35">
        <v>91</v>
      </c>
      <c r="R35">
        <v>159</v>
      </c>
      <c r="S35">
        <v>181</v>
      </c>
      <c r="T35">
        <v>13</v>
      </c>
      <c r="U35">
        <v>249</v>
      </c>
      <c r="V35">
        <v>40</v>
      </c>
      <c r="W35">
        <v>68</v>
      </c>
      <c r="X35">
        <v>242</v>
      </c>
      <c r="Y35">
        <v>247</v>
      </c>
      <c r="Z35">
        <v>117</v>
      </c>
      <c r="AA35">
        <v>63</v>
      </c>
      <c r="AB35">
        <v>149</v>
      </c>
      <c r="AC35">
        <v>181</v>
      </c>
      <c r="AD35">
        <v>236</v>
      </c>
      <c r="AE35">
        <v>40</v>
      </c>
      <c r="AF35">
        <v>30</v>
      </c>
      <c r="AG35">
        <v>252</v>
      </c>
      <c r="AH35">
        <v>222</v>
      </c>
      <c r="AI35">
        <v>160</v>
      </c>
      <c r="AJ35">
        <v>114</v>
      </c>
      <c r="AK35">
        <v>193</v>
      </c>
      <c r="AL35">
        <v>104</v>
      </c>
    </row>
    <row r="36" spans="6:38" x14ac:dyDescent="0.25">
      <c r="F36" s="36">
        <v>23</v>
      </c>
      <c r="G36">
        <v>65</v>
      </c>
      <c r="H36">
        <v>170</v>
      </c>
      <c r="I36">
        <v>68</v>
      </c>
      <c r="J36">
        <v>11</v>
      </c>
      <c r="K36">
        <v>75</v>
      </c>
      <c r="L36">
        <v>216</v>
      </c>
      <c r="M36">
        <v>145</v>
      </c>
      <c r="N36">
        <v>1</v>
      </c>
      <c r="O36">
        <v>246</v>
      </c>
      <c r="P36">
        <v>162</v>
      </c>
      <c r="Q36">
        <v>71</v>
      </c>
      <c r="R36">
        <v>56</v>
      </c>
      <c r="S36">
        <v>138</v>
      </c>
      <c r="T36">
        <v>205</v>
      </c>
      <c r="U36">
        <v>101</v>
      </c>
      <c r="V36">
        <v>207</v>
      </c>
      <c r="W36">
        <v>147</v>
      </c>
      <c r="X36">
        <v>190</v>
      </c>
      <c r="Y36">
        <v>243</v>
      </c>
      <c r="Z36">
        <v>241</v>
      </c>
      <c r="AA36">
        <v>232</v>
      </c>
      <c r="AB36">
        <v>215</v>
      </c>
      <c r="AC36">
        <v>250</v>
      </c>
      <c r="AD36">
        <v>115</v>
      </c>
      <c r="AE36">
        <v>47</v>
      </c>
      <c r="AF36">
        <v>254</v>
      </c>
      <c r="AG36">
        <v>74</v>
      </c>
      <c r="AH36">
        <v>165</v>
      </c>
      <c r="AI36">
        <v>180</v>
      </c>
      <c r="AJ36">
        <v>95</v>
      </c>
      <c r="AK36">
        <v>224</v>
      </c>
      <c r="AL36">
        <v>217</v>
      </c>
    </row>
    <row r="37" spans="6:38" x14ac:dyDescent="0.25">
      <c r="F37" s="36">
        <v>24</v>
      </c>
      <c r="G37">
        <v>10</v>
      </c>
      <c r="H37">
        <v>173</v>
      </c>
      <c r="I37">
        <v>120</v>
      </c>
      <c r="J37">
        <v>21</v>
      </c>
      <c r="K37">
        <v>9</v>
      </c>
      <c r="L37">
        <v>244</v>
      </c>
      <c r="M37">
        <v>34</v>
      </c>
      <c r="N37">
        <v>113</v>
      </c>
      <c r="O37">
        <v>224</v>
      </c>
      <c r="P37">
        <v>253</v>
      </c>
      <c r="Q37">
        <v>235</v>
      </c>
      <c r="R37">
        <v>165</v>
      </c>
      <c r="S37">
        <v>254</v>
      </c>
      <c r="T37">
        <v>113</v>
      </c>
      <c r="U37">
        <v>48</v>
      </c>
      <c r="V37">
        <v>94</v>
      </c>
      <c r="W37">
        <v>150</v>
      </c>
      <c r="X37">
        <v>174</v>
      </c>
      <c r="Y37">
        <v>182</v>
      </c>
      <c r="Z37">
        <v>0</v>
      </c>
      <c r="AA37">
        <v>105</v>
      </c>
      <c r="AB37">
        <v>113</v>
      </c>
      <c r="AC37">
        <v>180</v>
      </c>
      <c r="AD37">
        <v>164</v>
      </c>
      <c r="AE37">
        <v>131</v>
      </c>
      <c r="AF37">
        <v>21</v>
      </c>
      <c r="AG37">
        <v>209</v>
      </c>
      <c r="AH37">
        <v>37</v>
      </c>
      <c r="AI37">
        <v>41</v>
      </c>
      <c r="AJ37">
        <v>168</v>
      </c>
      <c r="AK37">
        <v>55</v>
      </c>
      <c r="AL37">
        <v>37</v>
      </c>
    </row>
    <row r="38" spans="6:38" x14ac:dyDescent="0.25">
      <c r="F38" s="36">
        <v>25</v>
      </c>
      <c r="G38">
        <v>97</v>
      </c>
      <c r="H38">
        <v>100</v>
      </c>
      <c r="I38">
        <v>177</v>
      </c>
      <c r="J38">
        <v>240</v>
      </c>
      <c r="K38">
        <v>91</v>
      </c>
      <c r="L38">
        <v>184</v>
      </c>
      <c r="M38">
        <v>205</v>
      </c>
      <c r="N38">
        <v>29</v>
      </c>
      <c r="O38">
        <v>97</v>
      </c>
      <c r="P38">
        <v>31</v>
      </c>
      <c r="Q38">
        <v>182</v>
      </c>
      <c r="R38">
        <v>61</v>
      </c>
      <c r="S38">
        <v>139</v>
      </c>
      <c r="T38">
        <v>84</v>
      </c>
      <c r="U38">
        <v>155</v>
      </c>
      <c r="V38">
        <v>213</v>
      </c>
      <c r="W38">
        <v>187</v>
      </c>
      <c r="X38">
        <v>149</v>
      </c>
      <c r="Y38">
        <v>223</v>
      </c>
      <c r="Z38">
        <v>239</v>
      </c>
      <c r="AA38">
        <v>48</v>
      </c>
      <c r="AB38">
        <v>171</v>
      </c>
      <c r="AC38">
        <v>90</v>
      </c>
      <c r="AD38">
        <v>72</v>
      </c>
      <c r="AE38">
        <v>242</v>
      </c>
      <c r="AF38">
        <v>84</v>
      </c>
      <c r="AG38">
        <v>120</v>
      </c>
      <c r="AH38">
        <v>19</v>
      </c>
      <c r="AI38">
        <v>45</v>
      </c>
      <c r="AJ38">
        <v>93</v>
      </c>
      <c r="AK38">
        <v>251</v>
      </c>
      <c r="AL38">
        <v>35</v>
      </c>
    </row>
    <row r="39" spans="6:38" x14ac:dyDescent="0.25">
      <c r="F39" s="36">
        <v>26</v>
      </c>
      <c r="G39">
        <v>252</v>
      </c>
      <c r="H39">
        <v>238</v>
      </c>
      <c r="I39">
        <v>211</v>
      </c>
      <c r="J39">
        <v>136</v>
      </c>
      <c r="K39">
        <v>19</v>
      </c>
      <c r="L39">
        <v>54</v>
      </c>
      <c r="M39">
        <v>8</v>
      </c>
      <c r="N39">
        <v>228</v>
      </c>
      <c r="O39">
        <v>206</v>
      </c>
      <c r="P39">
        <v>107</v>
      </c>
      <c r="Q39">
        <v>214</v>
      </c>
      <c r="R39">
        <v>63</v>
      </c>
      <c r="S39">
        <v>104</v>
      </c>
      <c r="T39">
        <v>57</v>
      </c>
      <c r="U39">
        <v>34</v>
      </c>
      <c r="V39">
        <v>113</v>
      </c>
      <c r="W39">
        <v>218</v>
      </c>
      <c r="X39">
        <v>64</v>
      </c>
      <c r="Y39">
        <v>217</v>
      </c>
      <c r="Z39">
        <v>12</v>
      </c>
      <c r="AA39">
        <v>122</v>
      </c>
      <c r="AB39">
        <v>167</v>
      </c>
      <c r="AC39">
        <v>129</v>
      </c>
      <c r="AD39">
        <v>231</v>
      </c>
      <c r="AE39">
        <v>141</v>
      </c>
      <c r="AF39">
        <v>159</v>
      </c>
      <c r="AG39">
        <v>30</v>
      </c>
      <c r="AH39">
        <v>71</v>
      </c>
      <c r="AI39">
        <v>15</v>
      </c>
      <c r="AJ39">
        <v>67</v>
      </c>
      <c r="AK39">
        <v>43</v>
      </c>
      <c r="AL39">
        <v>164</v>
      </c>
    </row>
    <row r="40" spans="6:38" x14ac:dyDescent="0.25">
      <c r="F40" s="36">
        <v>27</v>
      </c>
      <c r="G40">
        <v>110</v>
      </c>
      <c r="H40">
        <v>135</v>
      </c>
      <c r="I40">
        <v>169</v>
      </c>
      <c r="J40">
        <v>138</v>
      </c>
      <c r="K40">
        <v>45</v>
      </c>
      <c r="L40">
        <v>74</v>
      </c>
      <c r="M40">
        <v>247</v>
      </c>
      <c r="N40">
        <v>38</v>
      </c>
      <c r="O40">
        <v>108</v>
      </c>
      <c r="P40">
        <v>150</v>
      </c>
      <c r="Q40">
        <v>149</v>
      </c>
      <c r="R40">
        <v>78</v>
      </c>
      <c r="S40">
        <v>238</v>
      </c>
      <c r="T40">
        <v>15</v>
      </c>
      <c r="U40">
        <v>76</v>
      </c>
      <c r="V40">
        <v>28</v>
      </c>
      <c r="W40">
        <v>83</v>
      </c>
      <c r="X40">
        <v>145</v>
      </c>
      <c r="Y40">
        <v>251</v>
      </c>
      <c r="Z40">
        <v>65</v>
      </c>
      <c r="AA40">
        <v>127</v>
      </c>
      <c r="AB40">
        <v>36</v>
      </c>
      <c r="AC40">
        <v>142</v>
      </c>
      <c r="AD40">
        <v>93</v>
      </c>
      <c r="AE40">
        <v>39</v>
      </c>
      <c r="AF40">
        <v>33</v>
      </c>
      <c r="AG40">
        <v>188</v>
      </c>
      <c r="AH40">
        <v>31</v>
      </c>
      <c r="AI40">
        <v>136</v>
      </c>
      <c r="AJ40">
        <v>104</v>
      </c>
      <c r="AK40">
        <v>86</v>
      </c>
      <c r="AL40">
        <v>218</v>
      </c>
    </row>
    <row r="41" spans="6:38" x14ac:dyDescent="0.25">
      <c r="F41" s="36">
        <v>28</v>
      </c>
      <c r="G41">
        <v>46</v>
      </c>
      <c r="H41">
        <v>208</v>
      </c>
      <c r="I41">
        <v>66</v>
      </c>
      <c r="J41">
        <v>102</v>
      </c>
      <c r="K41">
        <v>201</v>
      </c>
      <c r="L41">
        <v>228</v>
      </c>
      <c r="M41">
        <v>213</v>
      </c>
      <c r="N41">
        <v>56</v>
      </c>
      <c r="O41">
        <v>85</v>
      </c>
      <c r="P41">
        <v>182</v>
      </c>
      <c r="Q41">
        <v>198</v>
      </c>
      <c r="R41">
        <v>63</v>
      </c>
      <c r="S41">
        <v>109</v>
      </c>
      <c r="T41">
        <v>179</v>
      </c>
      <c r="U41">
        <v>56</v>
      </c>
      <c r="V41">
        <v>167</v>
      </c>
      <c r="W41">
        <v>243</v>
      </c>
      <c r="X41">
        <v>76</v>
      </c>
      <c r="Y41">
        <v>210</v>
      </c>
      <c r="Z41">
        <v>64</v>
      </c>
      <c r="AA41">
        <v>145</v>
      </c>
      <c r="AB41">
        <v>30</v>
      </c>
      <c r="AC41">
        <v>176</v>
      </c>
      <c r="AD41">
        <v>3</v>
      </c>
      <c r="AE41">
        <v>73</v>
      </c>
      <c r="AF41">
        <v>255</v>
      </c>
      <c r="AG41">
        <v>166</v>
      </c>
      <c r="AH41">
        <v>144</v>
      </c>
      <c r="AI41">
        <v>60</v>
      </c>
      <c r="AJ41">
        <v>52</v>
      </c>
      <c r="AK41">
        <v>57</v>
      </c>
      <c r="AL41">
        <v>249</v>
      </c>
    </row>
    <row r="42" spans="6:38" x14ac:dyDescent="0.25">
      <c r="F42" s="36">
        <v>29</v>
      </c>
      <c r="G42">
        <v>56</v>
      </c>
      <c r="H42">
        <v>227</v>
      </c>
      <c r="I42">
        <v>150</v>
      </c>
      <c r="J42">
        <v>131</v>
      </c>
      <c r="K42">
        <v>244</v>
      </c>
      <c r="L42">
        <v>18</v>
      </c>
      <c r="M42">
        <v>185</v>
      </c>
      <c r="N42">
        <v>186</v>
      </c>
      <c r="O42">
        <v>33</v>
      </c>
      <c r="P42">
        <v>56</v>
      </c>
      <c r="Q42">
        <v>92</v>
      </c>
      <c r="R42">
        <v>134</v>
      </c>
      <c r="S42">
        <v>89</v>
      </c>
      <c r="T42">
        <v>156</v>
      </c>
      <c r="U42">
        <v>143</v>
      </c>
      <c r="V42">
        <v>231</v>
      </c>
      <c r="W42">
        <v>101</v>
      </c>
      <c r="X42">
        <v>31</v>
      </c>
      <c r="Y42">
        <v>163</v>
      </c>
      <c r="Z42">
        <v>180</v>
      </c>
      <c r="AA42">
        <v>125</v>
      </c>
      <c r="AB42">
        <v>19</v>
      </c>
      <c r="AC42">
        <v>135</v>
      </c>
      <c r="AD42">
        <v>68</v>
      </c>
      <c r="AE42">
        <v>232</v>
      </c>
      <c r="AF42">
        <v>97</v>
      </c>
      <c r="AG42">
        <v>192</v>
      </c>
      <c r="AH42">
        <v>158</v>
      </c>
      <c r="AI42">
        <v>170</v>
      </c>
      <c r="AJ42">
        <v>80</v>
      </c>
      <c r="AK42">
        <v>251</v>
      </c>
      <c r="AL42">
        <v>205</v>
      </c>
    </row>
    <row r="43" spans="6:38" x14ac:dyDescent="0.25">
      <c r="F43" s="36">
        <v>30</v>
      </c>
      <c r="G43">
        <v>163</v>
      </c>
      <c r="H43">
        <v>110</v>
      </c>
      <c r="I43">
        <v>221</v>
      </c>
      <c r="J43">
        <v>212</v>
      </c>
      <c r="K43">
        <v>162</v>
      </c>
      <c r="L43">
        <v>17</v>
      </c>
      <c r="M43">
        <v>95</v>
      </c>
      <c r="N43">
        <v>44</v>
      </c>
      <c r="O43">
        <v>39</v>
      </c>
      <c r="P43">
        <v>252</v>
      </c>
      <c r="Q43">
        <v>15</v>
      </c>
      <c r="R43">
        <v>225</v>
      </c>
      <c r="S43">
        <v>216</v>
      </c>
      <c r="T43">
        <v>119</v>
      </c>
      <c r="U43">
        <v>234</v>
      </c>
      <c r="V43">
        <v>55</v>
      </c>
      <c r="W43">
        <v>219</v>
      </c>
      <c r="X43">
        <v>240</v>
      </c>
      <c r="Y43">
        <v>105</v>
      </c>
      <c r="Z43">
        <v>85</v>
      </c>
      <c r="AA43">
        <v>90</v>
      </c>
      <c r="AB43">
        <v>134</v>
      </c>
      <c r="AC43">
        <v>238</v>
      </c>
      <c r="AD43">
        <v>35</v>
      </c>
      <c r="AE43">
        <v>179</v>
      </c>
      <c r="AF43">
        <v>125</v>
      </c>
      <c r="AG43">
        <v>145</v>
      </c>
      <c r="AH43">
        <v>107</v>
      </c>
      <c r="AI43">
        <v>145</v>
      </c>
      <c r="AJ43">
        <v>57</v>
      </c>
      <c r="AK43">
        <v>97</v>
      </c>
      <c r="AL43">
        <v>192</v>
      </c>
    </row>
    <row r="44" spans="6:38" x14ac:dyDescent="0.25">
      <c r="F44" s="36">
        <v>31</v>
      </c>
      <c r="G44">
        <v>199</v>
      </c>
      <c r="H44">
        <v>99</v>
      </c>
      <c r="I44">
        <v>89</v>
      </c>
      <c r="J44">
        <v>202</v>
      </c>
      <c r="K44">
        <v>242</v>
      </c>
      <c r="L44">
        <v>113</v>
      </c>
      <c r="M44">
        <v>189</v>
      </c>
      <c r="N44">
        <v>240</v>
      </c>
      <c r="O44">
        <v>117</v>
      </c>
      <c r="P44">
        <v>73</v>
      </c>
      <c r="Q44">
        <v>207</v>
      </c>
      <c r="R44">
        <v>132</v>
      </c>
      <c r="S44">
        <v>39</v>
      </c>
      <c r="T44">
        <v>121</v>
      </c>
      <c r="U44">
        <v>250</v>
      </c>
      <c r="V44">
        <v>187</v>
      </c>
      <c r="W44">
        <v>138</v>
      </c>
      <c r="X44">
        <v>229</v>
      </c>
      <c r="Y44">
        <v>28</v>
      </c>
      <c r="Z44">
        <v>97</v>
      </c>
      <c r="AA44">
        <v>121</v>
      </c>
      <c r="AB44">
        <v>211</v>
      </c>
      <c r="AC44">
        <v>161</v>
      </c>
      <c r="AD44">
        <v>232</v>
      </c>
      <c r="AE44">
        <v>156</v>
      </c>
      <c r="AF44">
        <v>174</v>
      </c>
      <c r="AG44">
        <v>143</v>
      </c>
      <c r="AH44">
        <v>171</v>
      </c>
      <c r="AI44">
        <v>218</v>
      </c>
      <c r="AJ44">
        <v>66</v>
      </c>
      <c r="AK44">
        <v>1</v>
      </c>
      <c r="AL44">
        <v>115</v>
      </c>
    </row>
    <row r="45" spans="6:38" x14ac:dyDescent="0.25">
      <c r="F45" s="36">
        <v>32</v>
      </c>
      <c r="G45">
        <v>86</v>
      </c>
      <c r="H45">
        <v>173</v>
      </c>
      <c r="I45">
        <v>204</v>
      </c>
      <c r="J45">
        <v>238</v>
      </c>
      <c r="K45">
        <v>76</v>
      </c>
      <c r="L45">
        <v>144</v>
      </c>
      <c r="M45">
        <v>192</v>
      </c>
      <c r="N45">
        <v>151</v>
      </c>
      <c r="O45">
        <v>165</v>
      </c>
      <c r="P45">
        <v>26</v>
      </c>
      <c r="Q45">
        <v>25</v>
      </c>
      <c r="R45">
        <v>166</v>
      </c>
      <c r="S45">
        <v>122</v>
      </c>
      <c r="T45">
        <v>121</v>
      </c>
      <c r="U45">
        <v>36</v>
      </c>
      <c r="V45">
        <v>168</v>
      </c>
      <c r="W45">
        <v>105</v>
      </c>
      <c r="X45">
        <v>186</v>
      </c>
      <c r="Y45">
        <v>193</v>
      </c>
      <c r="Z45">
        <v>134</v>
      </c>
      <c r="AA45">
        <v>24</v>
      </c>
      <c r="AB45">
        <v>170</v>
      </c>
      <c r="AC45">
        <v>102</v>
      </c>
      <c r="AD45">
        <v>33</v>
      </c>
      <c r="AE45">
        <v>80</v>
      </c>
      <c r="AF45">
        <v>113</v>
      </c>
      <c r="AG45">
        <v>109</v>
      </c>
      <c r="AH45">
        <v>36</v>
      </c>
      <c r="AI45">
        <v>117</v>
      </c>
      <c r="AJ45">
        <v>38</v>
      </c>
      <c r="AK45">
        <v>8</v>
      </c>
      <c r="AL45">
        <v>66</v>
      </c>
    </row>
    <row r="46" spans="6:38" x14ac:dyDescent="0.25">
      <c r="F46" s="36">
        <v>33</v>
      </c>
      <c r="G46">
        <v>235</v>
      </c>
      <c r="H46">
        <v>39</v>
      </c>
      <c r="I46">
        <v>204</v>
      </c>
      <c r="J46">
        <v>45</v>
      </c>
      <c r="K46">
        <v>7</v>
      </c>
      <c r="L46">
        <v>91</v>
      </c>
      <c r="M46">
        <v>150</v>
      </c>
      <c r="N46">
        <v>97</v>
      </c>
      <c r="O46">
        <v>213</v>
      </c>
      <c r="P46">
        <v>157</v>
      </c>
      <c r="Q46">
        <v>93</v>
      </c>
      <c r="R46">
        <v>125</v>
      </c>
      <c r="S46">
        <v>225</v>
      </c>
      <c r="T46">
        <v>183</v>
      </c>
      <c r="U46">
        <v>18</v>
      </c>
      <c r="V46">
        <v>136</v>
      </c>
      <c r="W46">
        <v>185</v>
      </c>
      <c r="X46">
        <v>237</v>
      </c>
      <c r="Y46">
        <v>63</v>
      </c>
      <c r="Z46">
        <v>96</v>
      </c>
      <c r="AA46">
        <v>249</v>
      </c>
      <c r="AB46">
        <v>235</v>
      </c>
      <c r="AC46">
        <v>2</v>
      </c>
      <c r="AD46">
        <v>102</v>
      </c>
      <c r="AE46">
        <v>107</v>
      </c>
      <c r="AF46">
        <v>143</v>
      </c>
      <c r="AG46">
        <v>86</v>
      </c>
      <c r="AH46">
        <v>2</v>
      </c>
      <c r="AI46">
        <v>57</v>
      </c>
      <c r="AJ46">
        <v>174</v>
      </c>
      <c r="AK46">
        <v>182</v>
      </c>
      <c r="AL46">
        <v>80</v>
      </c>
    </row>
    <row r="47" spans="6:38" x14ac:dyDescent="0.25">
      <c r="F47" s="36">
        <v>34</v>
      </c>
      <c r="G47">
        <v>60</v>
      </c>
      <c r="H47">
        <v>22</v>
      </c>
      <c r="I47">
        <v>35</v>
      </c>
      <c r="J47">
        <v>96</v>
      </c>
      <c r="K47">
        <v>65</v>
      </c>
      <c r="L47">
        <v>87</v>
      </c>
      <c r="M47">
        <v>206</v>
      </c>
      <c r="N47">
        <v>145</v>
      </c>
      <c r="O47">
        <v>165</v>
      </c>
      <c r="P47">
        <v>173</v>
      </c>
      <c r="Q47">
        <v>160</v>
      </c>
      <c r="R47">
        <v>126</v>
      </c>
      <c r="S47">
        <v>229</v>
      </c>
      <c r="T47">
        <v>117</v>
      </c>
      <c r="U47">
        <v>55</v>
      </c>
      <c r="V47">
        <v>199</v>
      </c>
      <c r="W47">
        <v>91</v>
      </c>
      <c r="X47">
        <v>201</v>
      </c>
      <c r="Y47">
        <v>58</v>
      </c>
      <c r="Z47">
        <v>36</v>
      </c>
      <c r="AA47">
        <v>243</v>
      </c>
      <c r="AB47">
        <v>221</v>
      </c>
      <c r="AC47">
        <v>153</v>
      </c>
      <c r="AD47">
        <v>255</v>
      </c>
      <c r="AE47">
        <v>78</v>
      </c>
      <c r="AF47">
        <v>196</v>
      </c>
      <c r="AG47">
        <v>15</v>
      </c>
      <c r="AH47">
        <v>245</v>
      </c>
      <c r="AI47">
        <v>121</v>
      </c>
      <c r="AJ47">
        <v>245</v>
      </c>
      <c r="AK47">
        <v>50</v>
      </c>
      <c r="AL47">
        <v>155</v>
      </c>
    </row>
    <row r="48" spans="6:38" x14ac:dyDescent="0.25">
      <c r="F48" s="36">
        <v>35</v>
      </c>
      <c r="G48">
        <v>29</v>
      </c>
      <c r="H48">
        <v>4</v>
      </c>
      <c r="I48">
        <v>27</v>
      </c>
      <c r="J48">
        <v>40</v>
      </c>
      <c r="K48">
        <v>58</v>
      </c>
      <c r="L48">
        <v>125</v>
      </c>
      <c r="M48">
        <v>244</v>
      </c>
      <c r="N48">
        <v>106</v>
      </c>
      <c r="O48">
        <v>242</v>
      </c>
      <c r="P48">
        <v>147</v>
      </c>
      <c r="Q48">
        <v>216</v>
      </c>
      <c r="R48">
        <v>148</v>
      </c>
      <c r="S48">
        <v>89</v>
      </c>
      <c r="T48">
        <v>212</v>
      </c>
      <c r="U48">
        <v>40</v>
      </c>
      <c r="V48">
        <v>38</v>
      </c>
      <c r="W48">
        <v>113</v>
      </c>
      <c r="X48">
        <v>175</v>
      </c>
      <c r="Y48">
        <v>64</v>
      </c>
      <c r="Z48">
        <v>166</v>
      </c>
      <c r="AA48">
        <v>227</v>
      </c>
      <c r="AB48">
        <v>228</v>
      </c>
      <c r="AC48">
        <v>62</v>
      </c>
      <c r="AD48">
        <v>191</v>
      </c>
      <c r="AE48">
        <v>202</v>
      </c>
      <c r="AF48">
        <v>100</v>
      </c>
      <c r="AG48">
        <v>170</v>
      </c>
      <c r="AH48">
        <v>33</v>
      </c>
      <c r="AI48">
        <v>248</v>
      </c>
      <c r="AJ48">
        <v>222</v>
      </c>
      <c r="AK48">
        <v>177</v>
      </c>
      <c r="AL48">
        <v>232</v>
      </c>
    </row>
    <row r="49" spans="6:38" x14ac:dyDescent="0.25">
      <c r="F49" s="36">
        <v>36</v>
      </c>
      <c r="G49">
        <v>239</v>
      </c>
      <c r="H49">
        <v>130</v>
      </c>
      <c r="I49">
        <v>195</v>
      </c>
      <c r="J49">
        <v>201</v>
      </c>
      <c r="K49">
        <v>217</v>
      </c>
      <c r="L49">
        <v>181</v>
      </c>
      <c r="M49">
        <v>146</v>
      </c>
      <c r="N49">
        <v>19</v>
      </c>
      <c r="O49">
        <v>196</v>
      </c>
      <c r="P49">
        <v>144</v>
      </c>
      <c r="Q49">
        <v>236</v>
      </c>
      <c r="R49">
        <v>155</v>
      </c>
      <c r="S49">
        <v>168</v>
      </c>
      <c r="T49">
        <v>34</v>
      </c>
      <c r="U49">
        <v>45</v>
      </c>
      <c r="V49">
        <v>1</v>
      </c>
      <c r="W49">
        <v>236</v>
      </c>
      <c r="X49">
        <v>232</v>
      </c>
      <c r="Y49">
        <v>194</v>
      </c>
      <c r="Z49">
        <v>19</v>
      </c>
      <c r="AA49">
        <v>150</v>
      </c>
      <c r="AB49">
        <v>202</v>
      </c>
      <c r="AC49">
        <v>66</v>
      </c>
      <c r="AD49">
        <v>101</v>
      </c>
      <c r="AE49">
        <v>63</v>
      </c>
      <c r="AF49">
        <v>234</v>
      </c>
      <c r="AG49">
        <v>222</v>
      </c>
      <c r="AH49">
        <v>39</v>
      </c>
      <c r="AI49">
        <v>8</v>
      </c>
      <c r="AJ49">
        <v>148</v>
      </c>
      <c r="AK49">
        <v>8</v>
      </c>
      <c r="AL49">
        <v>126</v>
      </c>
    </row>
    <row r="50" spans="6:38" x14ac:dyDescent="0.25">
      <c r="F50" s="36">
        <v>37</v>
      </c>
      <c r="G50">
        <v>180</v>
      </c>
      <c r="H50">
        <v>67</v>
      </c>
      <c r="I50">
        <v>251</v>
      </c>
      <c r="J50">
        <v>40</v>
      </c>
      <c r="K50">
        <v>109</v>
      </c>
      <c r="L50">
        <v>89</v>
      </c>
      <c r="M50">
        <v>140</v>
      </c>
      <c r="N50">
        <v>194</v>
      </c>
      <c r="O50">
        <v>36</v>
      </c>
      <c r="P50">
        <v>149</v>
      </c>
      <c r="Q50">
        <v>180</v>
      </c>
      <c r="R50">
        <v>12</v>
      </c>
      <c r="S50">
        <v>120</v>
      </c>
      <c r="T50">
        <v>183</v>
      </c>
      <c r="U50">
        <v>223</v>
      </c>
      <c r="V50">
        <v>0</v>
      </c>
      <c r="W50">
        <v>197</v>
      </c>
      <c r="X50">
        <v>61</v>
      </c>
      <c r="Y50">
        <v>83</v>
      </c>
      <c r="Z50">
        <v>12</v>
      </c>
      <c r="AA50">
        <v>235</v>
      </c>
      <c r="AB50">
        <v>249</v>
      </c>
      <c r="AC50">
        <v>193</v>
      </c>
      <c r="AD50">
        <v>16</v>
      </c>
      <c r="AE50">
        <v>97</v>
      </c>
      <c r="AF50">
        <v>195</v>
      </c>
      <c r="AG50">
        <v>194</v>
      </c>
      <c r="AH50">
        <v>216</v>
      </c>
      <c r="AI50">
        <v>175</v>
      </c>
      <c r="AJ50">
        <v>137</v>
      </c>
      <c r="AK50">
        <v>115</v>
      </c>
      <c r="AL50">
        <v>107</v>
      </c>
    </row>
    <row r="51" spans="6:38" x14ac:dyDescent="0.25">
      <c r="F51" s="36">
        <v>38</v>
      </c>
      <c r="G51">
        <v>193</v>
      </c>
      <c r="H51">
        <v>60</v>
      </c>
      <c r="I51">
        <v>194</v>
      </c>
      <c r="J51">
        <v>188</v>
      </c>
      <c r="K51">
        <v>193</v>
      </c>
      <c r="L51">
        <v>99</v>
      </c>
      <c r="M51">
        <v>173</v>
      </c>
      <c r="N51">
        <v>96</v>
      </c>
      <c r="O51">
        <v>20</v>
      </c>
      <c r="P51">
        <v>144</v>
      </c>
      <c r="Q51">
        <v>191</v>
      </c>
      <c r="R51">
        <v>254</v>
      </c>
      <c r="S51">
        <v>111</v>
      </c>
      <c r="T51">
        <v>1</v>
      </c>
      <c r="U51">
        <v>234</v>
      </c>
      <c r="V51">
        <v>162</v>
      </c>
      <c r="W51">
        <v>106</v>
      </c>
      <c r="X51">
        <v>96</v>
      </c>
      <c r="Y51">
        <v>219</v>
      </c>
      <c r="Z51">
        <v>50</v>
      </c>
      <c r="AA51">
        <v>255</v>
      </c>
      <c r="AB51">
        <v>70</v>
      </c>
      <c r="AC51">
        <v>96</v>
      </c>
      <c r="AD51">
        <v>45</v>
      </c>
      <c r="AE51">
        <v>50</v>
      </c>
      <c r="AF51">
        <v>126</v>
      </c>
      <c r="AG51">
        <v>92</v>
      </c>
      <c r="AH51">
        <v>147</v>
      </c>
      <c r="AI51">
        <v>147</v>
      </c>
      <c r="AJ51">
        <v>98</v>
      </c>
      <c r="AK51">
        <v>168</v>
      </c>
      <c r="AL51">
        <v>82</v>
      </c>
    </row>
    <row r="52" spans="6:38" x14ac:dyDescent="0.25">
      <c r="F52" s="36">
        <v>39</v>
      </c>
      <c r="G52">
        <v>54</v>
      </c>
      <c r="H52">
        <v>135</v>
      </c>
      <c r="I52">
        <v>208</v>
      </c>
      <c r="J52">
        <v>134</v>
      </c>
      <c r="K52">
        <v>220</v>
      </c>
      <c r="L52">
        <v>179</v>
      </c>
      <c r="M52">
        <v>166</v>
      </c>
      <c r="N52">
        <v>97</v>
      </c>
      <c r="O52">
        <v>196</v>
      </c>
      <c r="P52">
        <v>136</v>
      </c>
      <c r="Q52">
        <v>172</v>
      </c>
      <c r="R52">
        <v>167</v>
      </c>
      <c r="S52">
        <v>171</v>
      </c>
      <c r="T52">
        <v>33</v>
      </c>
      <c r="U52">
        <v>65</v>
      </c>
      <c r="V52">
        <v>81</v>
      </c>
      <c r="W52">
        <v>79</v>
      </c>
      <c r="X52">
        <v>107</v>
      </c>
      <c r="Y52">
        <v>154</v>
      </c>
      <c r="Z52">
        <v>113</v>
      </c>
      <c r="AA52">
        <v>233</v>
      </c>
      <c r="AB52">
        <v>254</v>
      </c>
      <c r="AC52">
        <v>208</v>
      </c>
      <c r="AD52">
        <v>222</v>
      </c>
      <c r="AE52">
        <v>84</v>
      </c>
      <c r="AF52">
        <v>247</v>
      </c>
      <c r="AG52">
        <v>25</v>
      </c>
      <c r="AH52">
        <v>164</v>
      </c>
      <c r="AI52">
        <v>95</v>
      </c>
      <c r="AJ52">
        <v>204</v>
      </c>
      <c r="AK52">
        <v>45</v>
      </c>
      <c r="AL52">
        <v>161</v>
      </c>
    </row>
    <row r="53" spans="6:38" x14ac:dyDescent="0.25">
      <c r="F53" s="36">
        <v>40</v>
      </c>
      <c r="G53">
        <v>240</v>
      </c>
      <c r="H53">
        <v>45</v>
      </c>
      <c r="I53">
        <v>16</v>
      </c>
      <c r="J53">
        <v>86</v>
      </c>
      <c r="K53">
        <v>42</v>
      </c>
      <c r="L53">
        <v>24</v>
      </c>
      <c r="M53">
        <v>243</v>
      </c>
      <c r="N53">
        <v>249</v>
      </c>
      <c r="O53">
        <v>103</v>
      </c>
      <c r="P53">
        <v>212</v>
      </c>
      <c r="Q53">
        <v>92</v>
      </c>
      <c r="R53">
        <v>67</v>
      </c>
      <c r="S53">
        <v>218</v>
      </c>
      <c r="T53">
        <v>185</v>
      </c>
      <c r="U53">
        <v>6</v>
      </c>
      <c r="V53">
        <v>147</v>
      </c>
      <c r="W53">
        <v>183</v>
      </c>
      <c r="X53">
        <v>46</v>
      </c>
      <c r="Y53">
        <v>199</v>
      </c>
      <c r="Z53">
        <v>7</v>
      </c>
      <c r="AA53">
        <v>31</v>
      </c>
      <c r="AB53">
        <v>211</v>
      </c>
      <c r="AC53">
        <v>35</v>
      </c>
      <c r="AD53">
        <v>107</v>
      </c>
      <c r="AE53">
        <v>206</v>
      </c>
      <c r="AF53">
        <v>31</v>
      </c>
      <c r="AG53">
        <v>42</v>
      </c>
      <c r="AH53">
        <v>201</v>
      </c>
      <c r="AI53">
        <v>41</v>
      </c>
      <c r="AJ53">
        <v>157</v>
      </c>
      <c r="AK53">
        <v>162</v>
      </c>
      <c r="AL53">
        <v>236</v>
      </c>
    </row>
    <row r="54" spans="6:38" x14ac:dyDescent="0.25">
      <c r="F54" s="36">
        <v>41</v>
      </c>
      <c r="G54">
        <v>237</v>
      </c>
      <c r="H54">
        <v>10</v>
      </c>
      <c r="I54">
        <v>252</v>
      </c>
      <c r="J54">
        <v>136</v>
      </c>
      <c r="K54">
        <v>145</v>
      </c>
      <c r="L54">
        <v>119</v>
      </c>
      <c r="M54">
        <v>21</v>
      </c>
      <c r="N54">
        <v>25</v>
      </c>
      <c r="O54">
        <v>127</v>
      </c>
      <c r="P54">
        <v>216</v>
      </c>
      <c r="Q54">
        <v>68</v>
      </c>
      <c r="R54">
        <v>81</v>
      </c>
      <c r="S54">
        <v>127</v>
      </c>
      <c r="T54">
        <v>26</v>
      </c>
      <c r="U54">
        <v>140</v>
      </c>
      <c r="V54">
        <v>206</v>
      </c>
      <c r="W54">
        <v>83</v>
      </c>
      <c r="X54">
        <v>112</v>
      </c>
      <c r="Y54">
        <v>231</v>
      </c>
      <c r="Z54">
        <v>131</v>
      </c>
      <c r="AA54">
        <v>161</v>
      </c>
      <c r="AB54">
        <v>91</v>
      </c>
      <c r="AC54">
        <v>36</v>
      </c>
      <c r="AD54">
        <v>42</v>
      </c>
      <c r="AE54">
        <v>189</v>
      </c>
      <c r="AF54">
        <v>191</v>
      </c>
      <c r="AG54">
        <v>85</v>
      </c>
      <c r="AH54">
        <v>88</v>
      </c>
      <c r="AI54">
        <v>105</v>
      </c>
      <c r="AJ54">
        <v>221</v>
      </c>
      <c r="AK54">
        <v>0</v>
      </c>
      <c r="AL54">
        <v>87</v>
      </c>
    </row>
    <row r="55" spans="6:38" x14ac:dyDescent="0.25">
      <c r="F55" s="36">
        <v>42</v>
      </c>
      <c r="G55">
        <v>67</v>
      </c>
      <c r="H55">
        <v>28</v>
      </c>
      <c r="I55">
        <v>247</v>
      </c>
      <c r="J55">
        <v>126</v>
      </c>
      <c r="K55">
        <v>199</v>
      </c>
      <c r="L55">
        <v>83</v>
      </c>
      <c r="M55">
        <v>79</v>
      </c>
      <c r="N55">
        <v>71</v>
      </c>
      <c r="O55">
        <v>120</v>
      </c>
      <c r="P55">
        <v>52</v>
      </c>
      <c r="Q55">
        <v>87</v>
      </c>
      <c r="R55">
        <v>129</v>
      </c>
      <c r="S55">
        <v>18</v>
      </c>
      <c r="T55">
        <v>25</v>
      </c>
      <c r="U55">
        <v>166</v>
      </c>
      <c r="V55">
        <v>72</v>
      </c>
      <c r="W55">
        <v>202</v>
      </c>
      <c r="X55">
        <v>41</v>
      </c>
      <c r="Y55">
        <v>20</v>
      </c>
      <c r="Z55">
        <v>241</v>
      </c>
      <c r="AA55">
        <v>24</v>
      </c>
      <c r="AB55">
        <v>245</v>
      </c>
      <c r="AC55">
        <v>134</v>
      </c>
      <c r="AD55">
        <v>134</v>
      </c>
      <c r="AE55">
        <v>37</v>
      </c>
      <c r="AF55">
        <v>94</v>
      </c>
      <c r="AG55">
        <v>159</v>
      </c>
      <c r="AH55">
        <v>32</v>
      </c>
      <c r="AI55">
        <v>139</v>
      </c>
      <c r="AJ55">
        <v>194</v>
      </c>
      <c r="AK55">
        <v>0</v>
      </c>
      <c r="AL55">
        <v>73</v>
      </c>
    </row>
    <row r="56" spans="6:38" x14ac:dyDescent="0.25">
      <c r="F56" s="36">
        <v>43</v>
      </c>
      <c r="G56">
        <v>203</v>
      </c>
      <c r="H56">
        <v>6</v>
      </c>
      <c r="I56">
        <v>79</v>
      </c>
      <c r="J56">
        <v>229</v>
      </c>
      <c r="K56">
        <v>86</v>
      </c>
      <c r="L56">
        <v>57</v>
      </c>
      <c r="M56">
        <v>19</v>
      </c>
      <c r="N56">
        <v>210</v>
      </c>
      <c r="O56">
        <v>109</v>
      </c>
      <c r="P56">
        <v>198</v>
      </c>
      <c r="Q56">
        <v>82</v>
      </c>
      <c r="R56">
        <v>255</v>
      </c>
      <c r="S56">
        <v>79</v>
      </c>
      <c r="T56">
        <v>217</v>
      </c>
      <c r="U56">
        <v>12</v>
      </c>
      <c r="V56">
        <v>124</v>
      </c>
      <c r="W56">
        <v>231</v>
      </c>
      <c r="X56">
        <v>5</v>
      </c>
      <c r="Y56">
        <v>237</v>
      </c>
      <c r="Z56">
        <v>42</v>
      </c>
      <c r="AA56">
        <v>113</v>
      </c>
      <c r="AB56">
        <v>86</v>
      </c>
      <c r="AC56">
        <v>209</v>
      </c>
      <c r="AD56">
        <v>165</v>
      </c>
      <c r="AE56">
        <v>126</v>
      </c>
      <c r="AF56">
        <v>255</v>
      </c>
      <c r="AG56">
        <v>70</v>
      </c>
      <c r="AH56">
        <v>190</v>
      </c>
      <c r="AI56">
        <v>66</v>
      </c>
      <c r="AJ56">
        <v>247</v>
      </c>
      <c r="AK56">
        <v>105</v>
      </c>
      <c r="AL56">
        <v>1</v>
      </c>
    </row>
    <row r="57" spans="6:38" x14ac:dyDescent="0.25">
      <c r="F57" s="36">
        <v>44</v>
      </c>
      <c r="G57">
        <v>77</v>
      </c>
      <c r="H57">
        <v>137</v>
      </c>
      <c r="I57">
        <v>148</v>
      </c>
      <c r="J57">
        <v>251</v>
      </c>
      <c r="K57">
        <v>206</v>
      </c>
      <c r="L57">
        <v>150</v>
      </c>
      <c r="M57">
        <v>253</v>
      </c>
      <c r="N57">
        <v>11</v>
      </c>
      <c r="O57">
        <v>234</v>
      </c>
      <c r="P57">
        <v>31</v>
      </c>
      <c r="Q57">
        <v>116</v>
      </c>
      <c r="R57">
        <v>93</v>
      </c>
      <c r="S57">
        <v>90</v>
      </c>
      <c r="T57">
        <v>5</v>
      </c>
      <c r="U57">
        <v>200</v>
      </c>
      <c r="V57">
        <v>71</v>
      </c>
      <c r="W57">
        <v>178</v>
      </c>
      <c r="X57">
        <v>245</v>
      </c>
      <c r="Y57">
        <v>15</v>
      </c>
      <c r="Z57">
        <v>86</v>
      </c>
      <c r="AA57">
        <v>45</v>
      </c>
      <c r="AB57">
        <v>155</v>
      </c>
      <c r="AC57">
        <v>18</v>
      </c>
      <c r="AD57">
        <v>59</v>
      </c>
      <c r="AE57">
        <v>123</v>
      </c>
      <c r="AF57">
        <v>254</v>
      </c>
      <c r="AG57">
        <v>240</v>
      </c>
      <c r="AH57">
        <v>83</v>
      </c>
      <c r="AI57">
        <v>40</v>
      </c>
      <c r="AJ57">
        <v>105</v>
      </c>
      <c r="AK57">
        <v>69</v>
      </c>
      <c r="AL57">
        <v>170</v>
      </c>
    </row>
    <row r="58" spans="6:38" x14ac:dyDescent="0.25">
      <c r="F58" s="36">
        <v>45</v>
      </c>
      <c r="G58">
        <v>158</v>
      </c>
      <c r="H58">
        <v>69</v>
      </c>
      <c r="I58">
        <v>246</v>
      </c>
      <c r="J58">
        <v>236</v>
      </c>
      <c r="K58">
        <v>17</v>
      </c>
      <c r="L58">
        <v>135</v>
      </c>
      <c r="M58">
        <v>184</v>
      </c>
      <c r="N58">
        <v>131</v>
      </c>
      <c r="O58">
        <v>66</v>
      </c>
      <c r="P58">
        <v>94</v>
      </c>
      <c r="Q58">
        <v>101</v>
      </c>
      <c r="R58">
        <v>87</v>
      </c>
      <c r="S58">
        <v>206</v>
      </c>
      <c r="T58">
        <v>52</v>
      </c>
      <c r="U58">
        <v>234</v>
      </c>
      <c r="V58">
        <v>253</v>
      </c>
      <c r="W58">
        <v>55</v>
      </c>
      <c r="X58">
        <v>123</v>
      </c>
      <c r="Y58">
        <v>230</v>
      </c>
      <c r="Z58">
        <v>246</v>
      </c>
      <c r="AA58">
        <v>164</v>
      </c>
      <c r="AB58">
        <v>219</v>
      </c>
      <c r="AC58">
        <v>119</v>
      </c>
      <c r="AD58">
        <v>93</v>
      </c>
      <c r="AE58">
        <v>183</v>
      </c>
      <c r="AF58">
        <v>171</v>
      </c>
      <c r="AG58">
        <v>26</v>
      </c>
      <c r="AH58">
        <v>70</v>
      </c>
      <c r="AI58">
        <v>152</v>
      </c>
      <c r="AJ58">
        <v>63</v>
      </c>
      <c r="AK58">
        <v>141</v>
      </c>
      <c r="AL58">
        <v>59</v>
      </c>
    </row>
    <row r="59" spans="6:38" x14ac:dyDescent="0.25">
      <c r="F59" s="36">
        <v>46</v>
      </c>
      <c r="G59">
        <v>42</v>
      </c>
      <c r="H59">
        <v>217</v>
      </c>
      <c r="I59">
        <v>4</v>
      </c>
      <c r="J59">
        <v>204</v>
      </c>
      <c r="K59">
        <v>187</v>
      </c>
      <c r="L59">
        <v>107</v>
      </c>
      <c r="M59">
        <v>129</v>
      </c>
      <c r="N59">
        <v>5</v>
      </c>
      <c r="O59">
        <v>66</v>
      </c>
      <c r="P59">
        <v>198</v>
      </c>
      <c r="Q59">
        <v>239</v>
      </c>
      <c r="R59">
        <v>171</v>
      </c>
      <c r="S59">
        <v>45</v>
      </c>
      <c r="T59">
        <v>229</v>
      </c>
      <c r="U59">
        <v>128</v>
      </c>
      <c r="V59">
        <v>15</v>
      </c>
      <c r="W59">
        <v>34</v>
      </c>
      <c r="X59">
        <v>111</v>
      </c>
      <c r="Y59">
        <v>175</v>
      </c>
      <c r="Z59">
        <v>123</v>
      </c>
      <c r="AA59">
        <v>201</v>
      </c>
      <c r="AB59">
        <v>237</v>
      </c>
      <c r="AC59">
        <v>25</v>
      </c>
      <c r="AD59">
        <v>235</v>
      </c>
      <c r="AE59">
        <v>90</v>
      </c>
      <c r="AF59">
        <v>134</v>
      </c>
      <c r="AG59">
        <v>100</v>
      </c>
      <c r="AH59">
        <v>249</v>
      </c>
      <c r="AI59">
        <v>215</v>
      </c>
      <c r="AJ59">
        <v>167</v>
      </c>
      <c r="AK59">
        <v>33</v>
      </c>
      <c r="AL59">
        <v>40</v>
      </c>
    </row>
    <row r="60" spans="6:38" x14ac:dyDescent="0.25">
      <c r="F60" s="36">
        <v>47</v>
      </c>
      <c r="G60">
        <v>192</v>
      </c>
      <c r="H60">
        <v>23</v>
      </c>
      <c r="I60">
        <v>216</v>
      </c>
      <c r="J60">
        <v>90</v>
      </c>
      <c r="K60">
        <v>225</v>
      </c>
      <c r="L60">
        <v>58</v>
      </c>
      <c r="M60">
        <v>42</v>
      </c>
      <c r="N60">
        <v>151</v>
      </c>
      <c r="O60">
        <v>83</v>
      </c>
      <c r="P60">
        <v>54</v>
      </c>
      <c r="Q60">
        <v>230</v>
      </c>
      <c r="R60">
        <v>194</v>
      </c>
      <c r="S60">
        <v>89</v>
      </c>
      <c r="T60">
        <v>3</v>
      </c>
      <c r="U60">
        <v>152</v>
      </c>
      <c r="V60">
        <v>154</v>
      </c>
      <c r="W60">
        <v>155</v>
      </c>
      <c r="X60">
        <v>99</v>
      </c>
      <c r="Y60">
        <v>84</v>
      </c>
      <c r="Z60">
        <v>50</v>
      </c>
      <c r="AA60">
        <v>214</v>
      </c>
      <c r="AB60">
        <v>1</v>
      </c>
      <c r="AC60">
        <v>56</v>
      </c>
      <c r="AD60">
        <v>131</v>
      </c>
      <c r="AE60">
        <v>160</v>
      </c>
      <c r="AF60">
        <v>209</v>
      </c>
      <c r="AG60">
        <v>254</v>
      </c>
      <c r="AH60">
        <v>227</v>
      </c>
      <c r="AI60">
        <v>40</v>
      </c>
      <c r="AJ60">
        <v>84</v>
      </c>
      <c r="AK60">
        <v>100</v>
      </c>
      <c r="AL60">
        <v>249</v>
      </c>
    </row>
    <row r="61" spans="6:38" x14ac:dyDescent="0.25">
      <c r="F61" s="36">
        <v>48</v>
      </c>
      <c r="G61">
        <v>200</v>
      </c>
      <c r="H61">
        <v>154</v>
      </c>
      <c r="I61">
        <v>202</v>
      </c>
      <c r="J61">
        <v>119</v>
      </c>
      <c r="K61">
        <v>200</v>
      </c>
      <c r="L61">
        <v>92</v>
      </c>
      <c r="M61">
        <v>110</v>
      </c>
      <c r="N61">
        <v>10</v>
      </c>
      <c r="O61">
        <v>31</v>
      </c>
      <c r="P61">
        <v>146</v>
      </c>
      <c r="Q61">
        <v>121</v>
      </c>
      <c r="R61">
        <v>254</v>
      </c>
      <c r="S61">
        <v>104</v>
      </c>
      <c r="T61">
        <v>80</v>
      </c>
      <c r="U61">
        <v>118</v>
      </c>
      <c r="V61">
        <v>246</v>
      </c>
      <c r="W61">
        <v>15</v>
      </c>
      <c r="X61">
        <v>0</v>
      </c>
      <c r="Y61">
        <v>164</v>
      </c>
      <c r="Z61">
        <v>158</v>
      </c>
      <c r="AA61">
        <v>35</v>
      </c>
      <c r="AB61">
        <v>229</v>
      </c>
      <c r="AC61">
        <v>191</v>
      </c>
      <c r="AD61">
        <v>215</v>
      </c>
      <c r="AE61">
        <v>202</v>
      </c>
      <c r="AF61">
        <v>200</v>
      </c>
      <c r="AG61">
        <v>75</v>
      </c>
      <c r="AH61">
        <v>158</v>
      </c>
      <c r="AI61">
        <v>64</v>
      </c>
      <c r="AJ61">
        <v>216</v>
      </c>
      <c r="AK61">
        <v>211</v>
      </c>
      <c r="AL61">
        <v>195</v>
      </c>
    </row>
    <row r="62" spans="6:38" x14ac:dyDescent="0.25">
      <c r="F62" s="36">
        <v>49</v>
      </c>
      <c r="G62">
        <v>91</v>
      </c>
      <c r="H62">
        <v>227</v>
      </c>
      <c r="I62">
        <v>143</v>
      </c>
      <c r="J62">
        <v>87</v>
      </c>
      <c r="K62">
        <v>62</v>
      </c>
      <c r="L62">
        <v>107</v>
      </c>
      <c r="M62">
        <v>46</v>
      </c>
      <c r="N62">
        <v>104</v>
      </c>
      <c r="O62">
        <v>91</v>
      </c>
      <c r="P62">
        <v>223</v>
      </c>
      <c r="Q62">
        <v>210</v>
      </c>
      <c r="R62">
        <v>44</v>
      </c>
      <c r="S62">
        <v>155</v>
      </c>
      <c r="T62">
        <v>64</v>
      </c>
      <c r="U62">
        <v>82</v>
      </c>
      <c r="V62">
        <v>158</v>
      </c>
      <c r="W62">
        <v>2</v>
      </c>
      <c r="X62">
        <v>232</v>
      </c>
      <c r="Y62">
        <v>43</v>
      </c>
      <c r="Z62">
        <v>85</v>
      </c>
      <c r="AA62">
        <v>234</v>
      </c>
      <c r="AB62">
        <v>195</v>
      </c>
      <c r="AC62">
        <v>77</v>
      </c>
      <c r="AD62">
        <v>166</v>
      </c>
      <c r="AE62">
        <v>162</v>
      </c>
      <c r="AF62">
        <v>110</v>
      </c>
      <c r="AG62">
        <v>233</v>
      </c>
      <c r="AH62">
        <v>242</v>
      </c>
      <c r="AI62">
        <v>192</v>
      </c>
      <c r="AJ62">
        <v>199</v>
      </c>
      <c r="AK62">
        <v>77</v>
      </c>
      <c r="AL62">
        <v>37</v>
      </c>
    </row>
    <row r="63" spans="6:38" x14ac:dyDescent="0.25">
      <c r="F63" s="36">
        <v>50</v>
      </c>
      <c r="G63">
        <v>253</v>
      </c>
      <c r="H63">
        <v>5</v>
      </c>
      <c r="I63">
        <v>31</v>
      </c>
      <c r="J63">
        <v>214</v>
      </c>
      <c r="K63">
        <v>146</v>
      </c>
      <c r="L63">
        <v>202</v>
      </c>
      <c r="M63">
        <v>95</v>
      </c>
      <c r="N63">
        <v>91</v>
      </c>
      <c r="O63">
        <v>222</v>
      </c>
      <c r="P63">
        <v>1</v>
      </c>
      <c r="Q63">
        <v>107</v>
      </c>
      <c r="R63">
        <v>163</v>
      </c>
      <c r="S63">
        <v>223</v>
      </c>
      <c r="T63">
        <v>75</v>
      </c>
      <c r="U63">
        <v>243</v>
      </c>
      <c r="V63">
        <v>65</v>
      </c>
      <c r="W63">
        <v>171</v>
      </c>
      <c r="X63">
        <v>240</v>
      </c>
      <c r="Y63">
        <v>128</v>
      </c>
      <c r="Z63">
        <v>236</v>
      </c>
      <c r="AA63">
        <v>92</v>
      </c>
      <c r="AB63">
        <v>164</v>
      </c>
      <c r="AC63">
        <v>15</v>
      </c>
      <c r="AD63">
        <v>163</v>
      </c>
      <c r="AE63">
        <v>40</v>
      </c>
      <c r="AF63">
        <v>151</v>
      </c>
      <c r="AG63">
        <v>148</v>
      </c>
      <c r="AH63">
        <v>49</v>
      </c>
      <c r="AI63">
        <v>174</v>
      </c>
      <c r="AJ63">
        <v>185</v>
      </c>
      <c r="AK63">
        <v>140</v>
      </c>
      <c r="AL63">
        <v>70</v>
      </c>
    </row>
    <row r="64" spans="6:38" x14ac:dyDescent="0.25">
      <c r="F64" s="36">
        <v>51</v>
      </c>
      <c r="G64">
        <v>239</v>
      </c>
      <c r="H64">
        <v>37</v>
      </c>
      <c r="I64">
        <v>96</v>
      </c>
      <c r="J64">
        <v>3</v>
      </c>
      <c r="K64">
        <v>31</v>
      </c>
      <c r="L64">
        <v>99</v>
      </c>
      <c r="M64">
        <v>160</v>
      </c>
      <c r="N64">
        <v>243</v>
      </c>
      <c r="O64">
        <v>69</v>
      </c>
      <c r="P64">
        <v>59</v>
      </c>
      <c r="Q64">
        <v>62</v>
      </c>
      <c r="R64">
        <v>73</v>
      </c>
      <c r="S64">
        <v>46</v>
      </c>
      <c r="T64">
        <v>112</v>
      </c>
      <c r="U64">
        <v>48</v>
      </c>
      <c r="V64">
        <v>215</v>
      </c>
      <c r="W64">
        <v>38</v>
      </c>
      <c r="X64">
        <v>136</v>
      </c>
      <c r="Y64">
        <v>181</v>
      </c>
      <c r="Z64">
        <v>244</v>
      </c>
      <c r="AA64">
        <v>164</v>
      </c>
      <c r="AB64">
        <v>197</v>
      </c>
      <c r="AC64">
        <v>19</v>
      </c>
      <c r="AD64">
        <v>58</v>
      </c>
      <c r="AE64">
        <v>41</v>
      </c>
      <c r="AF64">
        <v>118</v>
      </c>
      <c r="AG64">
        <v>3</v>
      </c>
      <c r="AH64">
        <v>242</v>
      </c>
      <c r="AI64">
        <v>111</v>
      </c>
      <c r="AJ64">
        <v>142</v>
      </c>
      <c r="AK64">
        <v>13</v>
      </c>
      <c r="AL64">
        <v>204</v>
      </c>
    </row>
    <row r="65" spans="6:38" x14ac:dyDescent="0.25">
      <c r="F65" s="36">
        <v>52</v>
      </c>
      <c r="G65">
        <v>141</v>
      </c>
      <c r="H65">
        <v>230</v>
      </c>
      <c r="I65">
        <v>164</v>
      </c>
      <c r="J65">
        <v>2</v>
      </c>
      <c r="K65">
        <v>6</v>
      </c>
      <c r="L65">
        <v>243</v>
      </c>
      <c r="M65">
        <v>111</v>
      </c>
      <c r="N65">
        <v>145</v>
      </c>
      <c r="O65">
        <v>189</v>
      </c>
      <c r="P65">
        <v>215</v>
      </c>
      <c r="Q65">
        <v>174</v>
      </c>
      <c r="R65">
        <v>57</v>
      </c>
      <c r="S65">
        <v>58</v>
      </c>
      <c r="T65">
        <v>126</v>
      </c>
      <c r="U65">
        <v>109</v>
      </c>
      <c r="V65">
        <v>169</v>
      </c>
      <c r="W65">
        <v>213</v>
      </c>
      <c r="X65">
        <v>14</v>
      </c>
      <c r="Y65">
        <v>98</v>
      </c>
      <c r="Z65">
        <v>18</v>
      </c>
      <c r="AA65">
        <v>77</v>
      </c>
      <c r="AB65">
        <v>213</v>
      </c>
      <c r="AC65">
        <v>138</v>
      </c>
      <c r="AD65">
        <v>13</v>
      </c>
      <c r="AE65">
        <v>21</v>
      </c>
      <c r="AF65">
        <v>27</v>
      </c>
      <c r="AG65">
        <v>132</v>
      </c>
      <c r="AH65">
        <v>181</v>
      </c>
      <c r="AI65">
        <v>106</v>
      </c>
      <c r="AJ65">
        <v>63</v>
      </c>
      <c r="AK65">
        <v>230</v>
      </c>
      <c r="AL65">
        <v>216</v>
      </c>
    </row>
    <row r="66" spans="6:38" x14ac:dyDescent="0.25">
      <c r="F66" s="36">
        <v>53</v>
      </c>
      <c r="G66">
        <v>80</v>
      </c>
      <c r="H66">
        <v>53</v>
      </c>
      <c r="I66">
        <v>245</v>
      </c>
      <c r="J66">
        <v>85</v>
      </c>
      <c r="K66">
        <v>3</v>
      </c>
      <c r="L66">
        <v>229</v>
      </c>
      <c r="M66">
        <v>172</v>
      </c>
      <c r="N66">
        <v>47</v>
      </c>
      <c r="O66">
        <v>62</v>
      </c>
      <c r="P66">
        <v>113</v>
      </c>
      <c r="Q66">
        <v>66</v>
      </c>
      <c r="R66">
        <v>97</v>
      </c>
      <c r="S66">
        <v>164</v>
      </c>
      <c r="T66">
        <v>230</v>
      </c>
      <c r="U66">
        <v>163</v>
      </c>
      <c r="V66">
        <v>253</v>
      </c>
      <c r="W66">
        <v>188</v>
      </c>
      <c r="X66">
        <v>156</v>
      </c>
      <c r="Y66">
        <v>184</v>
      </c>
      <c r="Z66">
        <v>89</v>
      </c>
      <c r="AA66">
        <v>147</v>
      </c>
      <c r="AB66">
        <v>9</v>
      </c>
      <c r="AC66">
        <v>219</v>
      </c>
      <c r="AD66">
        <v>182</v>
      </c>
      <c r="AE66">
        <v>45</v>
      </c>
      <c r="AF66">
        <v>163</v>
      </c>
      <c r="AG66">
        <v>62</v>
      </c>
      <c r="AH66">
        <v>36</v>
      </c>
      <c r="AI66">
        <v>42</v>
      </c>
      <c r="AJ66">
        <v>127</v>
      </c>
      <c r="AK66">
        <v>6</v>
      </c>
      <c r="AL66">
        <v>80</v>
      </c>
    </row>
    <row r="67" spans="6:38" x14ac:dyDescent="0.25">
      <c r="F67" s="36">
        <v>54</v>
      </c>
      <c r="G67">
        <v>183</v>
      </c>
      <c r="H67">
        <v>124</v>
      </c>
      <c r="I67">
        <v>154</v>
      </c>
      <c r="J67">
        <v>253</v>
      </c>
      <c r="K67">
        <v>177</v>
      </c>
      <c r="L67">
        <v>11</v>
      </c>
      <c r="M67">
        <v>128</v>
      </c>
      <c r="N67">
        <v>222</v>
      </c>
      <c r="O67">
        <v>69</v>
      </c>
      <c r="P67">
        <v>99</v>
      </c>
      <c r="Q67">
        <v>13</v>
      </c>
      <c r="R67">
        <v>198</v>
      </c>
      <c r="S67">
        <v>34</v>
      </c>
      <c r="T67">
        <v>219</v>
      </c>
      <c r="U67">
        <v>157</v>
      </c>
      <c r="V67">
        <v>89</v>
      </c>
      <c r="W67">
        <v>116</v>
      </c>
      <c r="X67">
        <v>75</v>
      </c>
      <c r="Y67">
        <v>143</v>
      </c>
      <c r="Z67">
        <v>221</v>
      </c>
      <c r="AA67">
        <v>102</v>
      </c>
      <c r="AB67">
        <v>149</v>
      </c>
      <c r="AC67">
        <v>82</v>
      </c>
      <c r="AD67">
        <v>116</v>
      </c>
      <c r="AE67">
        <v>144</v>
      </c>
      <c r="AF67">
        <v>66</v>
      </c>
      <c r="AG67">
        <v>235</v>
      </c>
      <c r="AH67">
        <v>214</v>
      </c>
      <c r="AI67">
        <v>44</v>
      </c>
      <c r="AJ67">
        <v>204</v>
      </c>
      <c r="AK67">
        <v>138</v>
      </c>
      <c r="AL67">
        <v>246</v>
      </c>
    </row>
    <row r="68" spans="6:38" x14ac:dyDescent="0.25">
      <c r="F68" s="36">
        <v>55</v>
      </c>
      <c r="G68">
        <v>104</v>
      </c>
      <c r="H68">
        <v>228</v>
      </c>
      <c r="I68">
        <v>112</v>
      </c>
      <c r="J68">
        <v>62</v>
      </c>
      <c r="K68">
        <v>38</v>
      </c>
      <c r="L68">
        <v>250</v>
      </c>
      <c r="M68">
        <v>31</v>
      </c>
      <c r="N68">
        <v>69</v>
      </c>
      <c r="O68">
        <v>218</v>
      </c>
      <c r="P68">
        <v>244</v>
      </c>
      <c r="Q68">
        <v>222</v>
      </c>
      <c r="R68">
        <v>234</v>
      </c>
      <c r="S68">
        <v>192</v>
      </c>
      <c r="T68">
        <v>6</v>
      </c>
      <c r="U68">
        <v>35</v>
      </c>
      <c r="V68">
        <v>40</v>
      </c>
      <c r="W68">
        <v>145</v>
      </c>
      <c r="X68">
        <v>133</v>
      </c>
      <c r="Y68">
        <v>224</v>
      </c>
      <c r="Z68">
        <v>178</v>
      </c>
      <c r="AA68">
        <v>42</v>
      </c>
      <c r="AB68">
        <v>118</v>
      </c>
      <c r="AC68">
        <v>102</v>
      </c>
      <c r="AD68">
        <v>103</v>
      </c>
      <c r="AE68">
        <v>211</v>
      </c>
      <c r="AF68">
        <v>132</v>
      </c>
      <c r="AG68">
        <v>241</v>
      </c>
      <c r="AH68">
        <v>194</v>
      </c>
      <c r="AI68">
        <v>50</v>
      </c>
      <c r="AJ68">
        <v>230</v>
      </c>
      <c r="AK68">
        <v>14</v>
      </c>
      <c r="AL68">
        <v>84</v>
      </c>
    </row>
    <row r="69" spans="6:38" x14ac:dyDescent="0.25">
      <c r="F69" s="36">
        <v>56</v>
      </c>
      <c r="G69">
        <v>94</v>
      </c>
      <c r="H69">
        <v>142</v>
      </c>
      <c r="I69">
        <v>91</v>
      </c>
      <c r="J69">
        <v>109</v>
      </c>
      <c r="K69">
        <v>22</v>
      </c>
      <c r="L69">
        <v>192</v>
      </c>
      <c r="M69">
        <v>156</v>
      </c>
      <c r="N69">
        <v>179</v>
      </c>
      <c r="O69">
        <v>4</v>
      </c>
      <c r="P69">
        <v>92</v>
      </c>
      <c r="Q69">
        <v>100</v>
      </c>
      <c r="R69">
        <v>25</v>
      </c>
      <c r="S69">
        <v>159</v>
      </c>
      <c r="T69">
        <v>236</v>
      </c>
      <c r="U69">
        <v>227</v>
      </c>
      <c r="V69">
        <v>202</v>
      </c>
      <c r="W69">
        <v>165</v>
      </c>
      <c r="X69">
        <v>100</v>
      </c>
      <c r="Y69">
        <v>30</v>
      </c>
      <c r="Z69">
        <v>115</v>
      </c>
      <c r="AA69">
        <v>215</v>
      </c>
      <c r="AB69">
        <v>124</v>
      </c>
      <c r="AC69">
        <v>143</v>
      </c>
      <c r="AD69">
        <v>88</v>
      </c>
      <c r="AE69">
        <v>201</v>
      </c>
      <c r="AF69">
        <v>193</v>
      </c>
      <c r="AG69">
        <v>194</v>
      </c>
      <c r="AH69">
        <v>214</v>
      </c>
      <c r="AI69">
        <v>209</v>
      </c>
      <c r="AJ69">
        <v>211</v>
      </c>
      <c r="AK69">
        <v>30</v>
      </c>
      <c r="AL69">
        <v>55</v>
      </c>
    </row>
    <row r="70" spans="6:38" x14ac:dyDescent="0.25">
      <c r="F70" s="36">
        <v>57</v>
      </c>
      <c r="G70">
        <v>248</v>
      </c>
      <c r="H70">
        <v>13</v>
      </c>
      <c r="I70">
        <v>157</v>
      </c>
      <c r="J70">
        <v>146</v>
      </c>
      <c r="K70">
        <v>215</v>
      </c>
      <c r="L70">
        <v>208</v>
      </c>
      <c r="M70">
        <v>213</v>
      </c>
      <c r="N70">
        <v>254</v>
      </c>
      <c r="O70">
        <v>177</v>
      </c>
      <c r="P70">
        <v>189</v>
      </c>
      <c r="Q70">
        <v>205</v>
      </c>
      <c r="R70">
        <v>144</v>
      </c>
      <c r="S70">
        <v>77</v>
      </c>
      <c r="T70">
        <v>248</v>
      </c>
      <c r="U70">
        <v>28</v>
      </c>
      <c r="V70">
        <v>85</v>
      </c>
      <c r="W70">
        <v>211</v>
      </c>
      <c r="X70">
        <v>132</v>
      </c>
      <c r="Y70">
        <v>112</v>
      </c>
      <c r="Z70">
        <v>16</v>
      </c>
      <c r="AA70">
        <v>213</v>
      </c>
      <c r="AB70">
        <v>7</v>
      </c>
      <c r="AC70">
        <v>220</v>
      </c>
      <c r="AD70">
        <v>179</v>
      </c>
      <c r="AE70">
        <v>51</v>
      </c>
      <c r="AF70">
        <v>218</v>
      </c>
      <c r="AG70">
        <v>51</v>
      </c>
      <c r="AH70">
        <v>174</v>
      </c>
      <c r="AI70">
        <v>45</v>
      </c>
      <c r="AJ70">
        <v>89</v>
      </c>
      <c r="AK70">
        <v>143</v>
      </c>
      <c r="AL70">
        <v>57</v>
      </c>
    </row>
    <row r="71" spans="6:38" x14ac:dyDescent="0.25">
      <c r="F71" s="36">
        <v>58</v>
      </c>
      <c r="G71">
        <v>220</v>
      </c>
      <c r="H71">
        <v>105</v>
      </c>
      <c r="I71">
        <v>146</v>
      </c>
      <c r="J71">
        <v>108</v>
      </c>
      <c r="K71">
        <v>236</v>
      </c>
      <c r="L71">
        <v>164</v>
      </c>
      <c r="M71">
        <v>98</v>
      </c>
      <c r="N71">
        <v>211</v>
      </c>
      <c r="O71">
        <v>76</v>
      </c>
      <c r="P71">
        <v>138</v>
      </c>
      <c r="Q71">
        <v>167</v>
      </c>
      <c r="R71">
        <v>139</v>
      </c>
      <c r="S71">
        <v>232</v>
      </c>
      <c r="T71">
        <v>134</v>
      </c>
      <c r="U71">
        <v>181</v>
      </c>
      <c r="V71">
        <v>81</v>
      </c>
      <c r="W71">
        <v>220</v>
      </c>
      <c r="X71">
        <v>41</v>
      </c>
      <c r="Y71">
        <v>171</v>
      </c>
      <c r="Z71">
        <v>243</v>
      </c>
      <c r="AA71">
        <v>182</v>
      </c>
      <c r="AB71">
        <v>164</v>
      </c>
      <c r="AC71">
        <v>105</v>
      </c>
      <c r="AD71">
        <v>72</v>
      </c>
      <c r="AE71">
        <v>247</v>
      </c>
      <c r="AF71">
        <v>247</v>
      </c>
      <c r="AG71">
        <v>6</v>
      </c>
      <c r="AH71">
        <v>89</v>
      </c>
      <c r="AI71">
        <v>74</v>
      </c>
      <c r="AJ71">
        <v>244</v>
      </c>
      <c r="AK71">
        <v>99</v>
      </c>
      <c r="AL71">
        <v>250</v>
      </c>
    </row>
    <row r="72" spans="6:38" x14ac:dyDescent="0.25">
      <c r="F72" s="36">
        <v>59</v>
      </c>
      <c r="G72">
        <v>6</v>
      </c>
      <c r="H72">
        <v>87</v>
      </c>
      <c r="I72">
        <v>161</v>
      </c>
      <c r="J72">
        <v>165</v>
      </c>
      <c r="K72">
        <v>33</v>
      </c>
      <c r="L72">
        <v>126</v>
      </c>
      <c r="M72">
        <v>116</v>
      </c>
      <c r="N72">
        <v>245</v>
      </c>
      <c r="O72">
        <v>10</v>
      </c>
      <c r="P72">
        <v>60</v>
      </c>
      <c r="Q72">
        <v>179</v>
      </c>
      <c r="R72">
        <v>130</v>
      </c>
      <c r="S72">
        <v>127</v>
      </c>
      <c r="T72">
        <v>203</v>
      </c>
      <c r="U72">
        <v>242</v>
      </c>
      <c r="V72">
        <v>36</v>
      </c>
      <c r="W72">
        <v>106</v>
      </c>
      <c r="X72">
        <v>35</v>
      </c>
      <c r="Y72">
        <v>199</v>
      </c>
      <c r="Z72">
        <v>208</v>
      </c>
      <c r="AA72">
        <v>165</v>
      </c>
      <c r="AB72">
        <v>217</v>
      </c>
      <c r="AC72">
        <v>22</v>
      </c>
      <c r="AD72">
        <v>169</v>
      </c>
      <c r="AE72">
        <v>72</v>
      </c>
      <c r="AF72">
        <v>111</v>
      </c>
      <c r="AG72">
        <v>159</v>
      </c>
      <c r="AH72">
        <v>162</v>
      </c>
      <c r="AI72">
        <v>19</v>
      </c>
      <c r="AJ72">
        <v>68</v>
      </c>
      <c r="AK72">
        <v>209</v>
      </c>
      <c r="AL72">
        <v>133</v>
      </c>
    </row>
    <row r="73" spans="6:38" x14ac:dyDescent="0.25">
      <c r="F73" s="36">
        <v>60</v>
      </c>
      <c r="G73">
        <v>78</v>
      </c>
      <c r="H73">
        <v>193</v>
      </c>
      <c r="I73">
        <v>67</v>
      </c>
      <c r="J73">
        <v>40</v>
      </c>
      <c r="K73">
        <v>160</v>
      </c>
      <c r="L73">
        <v>26</v>
      </c>
      <c r="M73">
        <v>191</v>
      </c>
      <c r="N73">
        <v>240</v>
      </c>
      <c r="O73">
        <v>251</v>
      </c>
      <c r="P73">
        <v>121</v>
      </c>
      <c r="Q73">
        <v>74</v>
      </c>
      <c r="R73">
        <v>14</v>
      </c>
      <c r="S73">
        <v>119</v>
      </c>
      <c r="T73">
        <v>81</v>
      </c>
      <c r="U73">
        <v>111</v>
      </c>
      <c r="V73">
        <v>160</v>
      </c>
      <c r="W73">
        <v>94</v>
      </c>
      <c r="X73">
        <v>114</v>
      </c>
      <c r="Y73">
        <v>235</v>
      </c>
      <c r="Z73">
        <v>102</v>
      </c>
      <c r="AA73">
        <v>128</v>
      </c>
      <c r="AB73">
        <v>70</v>
      </c>
      <c r="AC73">
        <v>145</v>
      </c>
      <c r="AD73">
        <v>71</v>
      </c>
      <c r="AE73">
        <v>32</v>
      </c>
      <c r="AF73">
        <v>174</v>
      </c>
      <c r="AG73">
        <v>134</v>
      </c>
      <c r="AH73">
        <v>251</v>
      </c>
      <c r="AI73">
        <v>239</v>
      </c>
      <c r="AJ73">
        <v>10</v>
      </c>
      <c r="AK73">
        <v>145</v>
      </c>
      <c r="AL73">
        <v>8</v>
      </c>
    </row>
    <row r="74" spans="6:38" x14ac:dyDescent="0.25">
      <c r="F74" s="36">
        <v>61</v>
      </c>
      <c r="G74">
        <v>100</v>
      </c>
      <c r="H74">
        <v>67</v>
      </c>
      <c r="I74">
        <v>231</v>
      </c>
      <c r="J74">
        <v>217</v>
      </c>
      <c r="K74">
        <v>83</v>
      </c>
      <c r="L74">
        <v>128</v>
      </c>
      <c r="M74">
        <v>173</v>
      </c>
      <c r="N74">
        <v>202</v>
      </c>
      <c r="O74">
        <v>235</v>
      </c>
      <c r="P74">
        <v>182</v>
      </c>
      <c r="Q74">
        <v>244</v>
      </c>
      <c r="R74">
        <v>112</v>
      </c>
      <c r="S74">
        <v>247</v>
      </c>
      <c r="T74">
        <v>132</v>
      </c>
      <c r="U74">
        <v>250</v>
      </c>
      <c r="V74">
        <v>166</v>
      </c>
      <c r="W74">
        <v>232</v>
      </c>
      <c r="X74">
        <v>7</v>
      </c>
      <c r="Y74">
        <v>69</v>
      </c>
      <c r="Z74">
        <v>148</v>
      </c>
      <c r="AA74">
        <v>224</v>
      </c>
      <c r="AB74">
        <v>80</v>
      </c>
      <c r="AC74">
        <v>201</v>
      </c>
      <c r="AD74">
        <v>148</v>
      </c>
      <c r="AE74">
        <v>73</v>
      </c>
      <c r="AF74">
        <v>30</v>
      </c>
      <c r="AG74">
        <v>52</v>
      </c>
      <c r="AH74">
        <v>17</v>
      </c>
      <c r="AI74">
        <v>4</v>
      </c>
      <c r="AJ74">
        <v>136</v>
      </c>
      <c r="AK74">
        <v>168</v>
      </c>
      <c r="AL74">
        <v>184</v>
      </c>
    </row>
    <row r="75" spans="6:38" x14ac:dyDescent="0.25">
      <c r="F75" s="36">
        <v>62</v>
      </c>
      <c r="G75">
        <v>17</v>
      </c>
      <c r="H75">
        <v>167</v>
      </c>
      <c r="I75">
        <v>86</v>
      </c>
      <c r="J75">
        <v>112</v>
      </c>
      <c r="K75">
        <v>118</v>
      </c>
      <c r="L75">
        <v>208</v>
      </c>
      <c r="M75">
        <v>36</v>
      </c>
      <c r="N75">
        <v>166</v>
      </c>
      <c r="O75">
        <v>105</v>
      </c>
      <c r="P75">
        <v>33</v>
      </c>
      <c r="Q75">
        <v>239</v>
      </c>
      <c r="R75">
        <v>83</v>
      </c>
      <c r="S75">
        <v>44</v>
      </c>
      <c r="T75">
        <v>216</v>
      </c>
      <c r="U75">
        <v>50</v>
      </c>
      <c r="V75">
        <v>152</v>
      </c>
      <c r="W75">
        <v>141</v>
      </c>
      <c r="X75">
        <v>65</v>
      </c>
      <c r="Y75">
        <v>73</v>
      </c>
      <c r="Z75">
        <v>81</v>
      </c>
      <c r="AA75">
        <v>77</v>
      </c>
      <c r="AB75">
        <v>154</v>
      </c>
      <c r="AC75">
        <v>30</v>
      </c>
      <c r="AD75">
        <v>139</v>
      </c>
      <c r="AE75">
        <v>172</v>
      </c>
      <c r="AF75">
        <v>41</v>
      </c>
      <c r="AG75">
        <v>106</v>
      </c>
      <c r="AH75">
        <v>184</v>
      </c>
      <c r="AI75">
        <v>120</v>
      </c>
      <c r="AJ75">
        <v>172</v>
      </c>
      <c r="AK75">
        <v>192</v>
      </c>
      <c r="AL75">
        <v>219</v>
      </c>
    </row>
    <row r="76" spans="6:38" x14ac:dyDescent="0.25">
      <c r="F76" s="36">
        <v>63</v>
      </c>
      <c r="G76">
        <v>194</v>
      </c>
      <c r="H76">
        <v>97</v>
      </c>
      <c r="I76">
        <v>29</v>
      </c>
      <c r="J76">
        <v>214</v>
      </c>
      <c r="K76">
        <v>85</v>
      </c>
      <c r="L76">
        <v>128</v>
      </c>
      <c r="M76">
        <v>12</v>
      </c>
      <c r="N76">
        <v>126</v>
      </c>
      <c r="O76">
        <v>46</v>
      </c>
      <c r="P76">
        <v>73</v>
      </c>
      <c r="Q76">
        <v>205</v>
      </c>
      <c r="R76">
        <v>86</v>
      </c>
      <c r="S76">
        <v>175</v>
      </c>
      <c r="T76">
        <v>102</v>
      </c>
      <c r="U76">
        <v>214</v>
      </c>
      <c r="V76">
        <v>118</v>
      </c>
      <c r="W76">
        <v>51</v>
      </c>
      <c r="X76">
        <v>14</v>
      </c>
      <c r="Y76">
        <v>86</v>
      </c>
      <c r="Z76">
        <v>60</v>
      </c>
      <c r="AA76">
        <v>26</v>
      </c>
      <c r="AB76">
        <v>56</v>
      </c>
      <c r="AC76">
        <v>84</v>
      </c>
      <c r="AD76">
        <v>149</v>
      </c>
      <c r="AE76">
        <v>67</v>
      </c>
      <c r="AF76">
        <v>9</v>
      </c>
      <c r="AG76">
        <v>61</v>
      </c>
      <c r="AH76">
        <v>121</v>
      </c>
      <c r="AI76">
        <v>72</v>
      </c>
      <c r="AJ76">
        <v>253</v>
      </c>
      <c r="AK76">
        <v>220</v>
      </c>
      <c r="AL76">
        <v>123</v>
      </c>
    </row>
    <row r="77" spans="6:38" x14ac:dyDescent="0.25">
      <c r="F77" s="36">
        <v>64</v>
      </c>
      <c r="G77">
        <v>184</v>
      </c>
      <c r="H77">
        <v>127</v>
      </c>
      <c r="I77">
        <v>28</v>
      </c>
      <c r="J77">
        <v>237</v>
      </c>
      <c r="K77">
        <v>180</v>
      </c>
      <c r="L77">
        <v>106</v>
      </c>
      <c r="M77">
        <v>236</v>
      </c>
      <c r="N77">
        <v>81</v>
      </c>
      <c r="O77">
        <v>253</v>
      </c>
      <c r="P77">
        <v>140</v>
      </c>
      <c r="Q77">
        <v>93</v>
      </c>
      <c r="R77">
        <v>45</v>
      </c>
      <c r="S77">
        <v>113</v>
      </c>
      <c r="T77">
        <v>58</v>
      </c>
      <c r="U77">
        <v>116</v>
      </c>
      <c r="V77">
        <v>64</v>
      </c>
      <c r="W77">
        <v>179</v>
      </c>
      <c r="X77">
        <v>103</v>
      </c>
      <c r="Y77">
        <v>117</v>
      </c>
      <c r="Z77">
        <v>225</v>
      </c>
      <c r="AA77">
        <v>7</v>
      </c>
      <c r="AB77">
        <v>199</v>
      </c>
      <c r="AC77">
        <v>70</v>
      </c>
      <c r="AD77">
        <v>59</v>
      </c>
      <c r="AE77">
        <v>157</v>
      </c>
      <c r="AF77">
        <v>137</v>
      </c>
      <c r="AG77">
        <v>133</v>
      </c>
      <c r="AH77">
        <v>121</v>
      </c>
      <c r="AI77">
        <v>53</v>
      </c>
      <c r="AJ77">
        <v>81</v>
      </c>
      <c r="AK77">
        <v>147</v>
      </c>
      <c r="AL77">
        <v>105</v>
      </c>
    </row>
    <row r="78" spans="6:38" x14ac:dyDescent="0.25">
      <c r="F78" s="36">
        <v>65</v>
      </c>
      <c r="G78">
        <v>60</v>
      </c>
      <c r="H78">
        <v>237</v>
      </c>
      <c r="I78">
        <v>30</v>
      </c>
      <c r="J78">
        <v>74</v>
      </c>
      <c r="K78">
        <v>251</v>
      </c>
      <c r="L78">
        <v>184</v>
      </c>
      <c r="M78">
        <v>215</v>
      </c>
      <c r="N78">
        <v>189</v>
      </c>
      <c r="O78">
        <v>99</v>
      </c>
      <c r="P78">
        <v>64</v>
      </c>
      <c r="Q78">
        <v>116</v>
      </c>
      <c r="R78">
        <v>147</v>
      </c>
      <c r="S78">
        <v>162</v>
      </c>
      <c r="T78">
        <v>40</v>
      </c>
      <c r="U78">
        <v>243</v>
      </c>
      <c r="V78">
        <v>68</v>
      </c>
      <c r="W78">
        <v>196</v>
      </c>
      <c r="X78">
        <v>76</v>
      </c>
      <c r="Y78">
        <v>49</v>
      </c>
      <c r="Z78">
        <v>214</v>
      </c>
      <c r="AA78">
        <v>253</v>
      </c>
      <c r="AB78">
        <v>243</v>
      </c>
      <c r="AC78">
        <v>53</v>
      </c>
      <c r="AD78">
        <v>52</v>
      </c>
      <c r="AE78">
        <v>196</v>
      </c>
      <c r="AF78">
        <v>153</v>
      </c>
      <c r="AG78">
        <v>37</v>
      </c>
      <c r="AH78">
        <v>219</v>
      </c>
      <c r="AI78">
        <v>108</v>
      </c>
      <c r="AJ78">
        <v>25</v>
      </c>
      <c r="AK78">
        <v>41</v>
      </c>
      <c r="AL78">
        <v>181</v>
      </c>
    </row>
    <row r="79" spans="6:38" x14ac:dyDescent="0.25">
      <c r="F79" s="36">
        <v>66</v>
      </c>
      <c r="G79">
        <v>104</v>
      </c>
      <c r="H79">
        <v>74</v>
      </c>
      <c r="I79">
        <v>74</v>
      </c>
      <c r="J79">
        <v>98</v>
      </c>
      <c r="K79">
        <v>7</v>
      </c>
      <c r="L79">
        <v>201</v>
      </c>
      <c r="M79">
        <v>91</v>
      </c>
      <c r="N79">
        <v>146</v>
      </c>
      <c r="O79">
        <v>180</v>
      </c>
      <c r="P79">
        <v>215</v>
      </c>
      <c r="Q79">
        <v>215</v>
      </c>
      <c r="R79">
        <v>71</v>
      </c>
      <c r="S79">
        <v>188</v>
      </c>
      <c r="T79">
        <v>177</v>
      </c>
      <c r="U79">
        <v>95</v>
      </c>
      <c r="V79">
        <v>133</v>
      </c>
      <c r="W79">
        <v>67</v>
      </c>
      <c r="X79">
        <v>142</v>
      </c>
      <c r="Y79">
        <v>28</v>
      </c>
      <c r="Z79">
        <v>7</v>
      </c>
      <c r="AA79">
        <v>73</v>
      </c>
      <c r="AB79">
        <v>238</v>
      </c>
      <c r="AC79">
        <v>70</v>
      </c>
      <c r="AD79">
        <v>151</v>
      </c>
      <c r="AE79">
        <v>84</v>
      </c>
      <c r="AF79">
        <v>98</v>
      </c>
      <c r="AG79">
        <v>243</v>
      </c>
      <c r="AH79">
        <v>51</v>
      </c>
      <c r="AI79">
        <v>180</v>
      </c>
      <c r="AJ79">
        <v>124</v>
      </c>
      <c r="AK79">
        <v>132</v>
      </c>
      <c r="AL79">
        <v>75</v>
      </c>
    </row>
    <row r="80" spans="6:38" x14ac:dyDescent="0.25">
      <c r="F80" s="36">
        <v>67</v>
      </c>
      <c r="G80">
        <v>142</v>
      </c>
      <c r="H80">
        <v>36</v>
      </c>
      <c r="I80">
        <v>104</v>
      </c>
      <c r="J80">
        <v>181</v>
      </c>
      <c r="K80">
        <v>160</v>
      </c>
      <c r="L80">
        <v>215</v>
      </c>
      <c r="M80">
        <v>254</v>
      </c>
      <c r="N80">
        <v>25</v>
      </c>
      <c r="O80">
        <v>143</v>
      </c>
      <c r="P80">
        <v>25</v>
      </c>
      <c r="Q80">
        <v>93</v>
      </c>
      <c r="R80">
        <v>52</v>
      </c>
      <c r="S80">
        <v>10</v>
      </c>
      <c r="T80">
        <v>22</v>
      </c>
      <c r="U80">
        <v>11</v>
      </c>
      <c r="V80">
        <v>89</v>
      </c>
      <c r="W80">
        <v>104</v>
      </c>
      <c r="X80">
        <v>134</v>
      </c>
      <c r="Y80">
        <v>86</v>
      </c>
      <c r="Z80">
        <v>77</v>
      </c>
      <c r="AA80">
        <v>24</v>
      </c>
      <c r="AB80">
        <v>214</v>
      </c>
      <c r="AC80">
        <v>34</v>
      </c>
      <c r="AD80">
        <v>163</v>
      </c>
      <c r="AE80">
        <v>145</v>
      </c>
      <c r="AF80">
        <v>184</v>
      </c>
      <c r="AG80">
        <v>125</v>
      </c>
      <c r="AH80">
        <v>146</v>
      </c>
      <c r="AI80">
        <v>2</v>
      </c>
      <c r="AJ80">
        <v>91</v>
      </c>
      <c r="AK80">
        <v>199</v>
      </c>
      <c r="AL80">
        <v>2</v>
      </c>
    </row>
    <row r="81" spans="6:38" x14ac:dyDescent="0.25">
      <c r="F81" s="36">
        <v>68</v>
      </c>
      <c r="G81">
        <v>241</v>
      </c>
      <c r="H81">
        <v>120</v>
      </c>
      <c r="I81">
        <v>144</v>
      </c>
      <c r="J81">
        <v>251</v>
      </c>
      <c r="K81">
        <v>151</v>
      </c>
      <c r="L81">
        <v>56</v>
      </c>
      <c r="M81">
        <v>55</v>
      </c>
      <c r="N81">
        <v>112</v>
      </c>
      <c r="O81">
        <v>39</v>
      </c>
      <c r="P81">
        <v>75</v>
      </c>
      <c r="Q81">
        <v>94</v>
      </c>
      <c r="R81">
        <v>19</v>
      </c>
      <c r="S81">
        <v>95</v>
      </c>
      <c r="T81">
        <v>168</v>
      </c>
      <c r="U81">
        <v>238</v>
      </c>
      <c r="V81">
        <v>104</v>
      </c>
      <c r="W81">
        <v>220</v>
      </c>
      <c r="X81">
        <v>73</v>
      </c>
      <c r="Y81">
        <v>220</v>
      </c>
      <c r="Z81">
        <v>36</v>
      </c>
      <c r="AA81">
        <v>2</v>
      </c>
      <c r="AB81">
        <v>83</v>
      </c>
      <c r="AC81">
        <v>227</v>
      </c>
      <c r="AD81">
        <v>225</v>
      </c>
      <c r="AE81">
        <v>120</v>
      </c>
      <c r="AF81">
        <v>254</v>
      </c>
      <c r="AG81">
        <v>211</v>
      </c>
      <c r="AH81">
        <v>26</v>
      </c>
      <c r="AI81">
        <v>176</v>
      </c>
      <c r="AJ81">
        <v>230</v>
      </c>
      <c r="AK81">
        <v>226</v>
      </c>
      <c r="AL81">
        <v>14</v>
      </c>
    </row>
    <row r="82" spans="6:38" x14ac:dyDescent="0.25">
      <c r="F82" s="36">
        <v>69</v>
      </c>
      <c r="G82">
        <v>249</v>
      </c>
      <c r="H82">
        <v>215</v>
      </c>
      <c r="I82">
        <v>105</v>
      </c>
      <c r="J82">
        <v>51</v>
      </c>
      <c r="K82">
        <v>228</v>
      </c>
      <c r="L82">
        <v>127</v>
      </c>
      <c r="M82">
        <v>121</v>
      </c>
      <c r="N82">
        <v>164</v>
      </c>
      <c r="O82">
        <v>111</v>
      </c>
      <c r="P82">
        <v>235</v>
      </c>
      <c r="Q82">
        <v>4</v>
      </c>
      <c r="R82">
        <v>243</v>
      </c>
      <c r="S82">
        <v>214</v>
      </c>
      <c r="T82">
        <v>105</v>
      </c>
      <c r="U82">
        <v>78</v>
      </c>
      <c r="V82">
        <v>38</v>
      </c>
      <c r="W82">
        <v>101</v>
      </c>
      <c r="X82">
        <v>156</v>
      </c>
      <c r="Y82">
        <v>39</v>
      </c>
      <c r="Z82">
        <v>163</v>
      </c>
      <c r="AA82">
        <v>22</v>
      </c>
      <c r="AB82">
        <v>99</v>
      </c>
      <c r="AC82">
        <v>242</v>
      </c>
      <c r="AD82">
        <v>95</v>
      </c>
      <c r="AE82">
        <v>157</v>
      </c>
      <c r="AF82">
        <v>126</v>
      </c>
      <c r="AG82">
        <v>135</v>
      </c>
      <c r="AH82">
        <v>100</v>
      </c>
      <c r="AI82">
        <v>168</v>
      </c>
      <c r="AJ82">
        <v>159</v>
      </c>
      <c r="AK82">
        <v>66</v>
      </c>
      <c r="AL82">
        <v>147</v>
      </c>
    </row>
    <row r="83" spans="6:38" x14ac:dyDescent="0.25">
      <c r="F83" s="36">
        <v>70</v>
      </c>
      <c r="G83">
        <v>237</v>
      </c>
      <c r="H83">
        <v>87</v>
      </c>
      <c r="I83">
        <v>36</v>
      </c>
      <c r="J83">
        <v>171</v>
      </c>
      <c r="K83">
        <v>4</v>
      </c>
      <c r="L83">
        <v>1</v>
      </c>
      <c r="M83">
        <v>150</v>
      </c>
      <c r="N83">
        <v>218</v>
      </c>
      <c r="O83">
        <v>251</v>
      </c>
      <c r="P83">
        <v>40</v>
      </c>
      <c r="Q83">
        <v>226</v>
      </c>
      <c r="R83">
        <v>11</v>
      </c>
      <c r="S83">
        <v>116</v>
      </c>
      <c r="T83">
        <v>81</v>
      </c>
      <c r="U83">
        <v>141</v>
      </c>
      <c r="V83">
        <v>163</v>
      </c>
      <c r="W83">
        <v>220</v>
      </c>
      <c r="X83">
        <v>192</v>
      </c>
      <c r="Y83">
        <v>181</v>
      </c>
      <c r="Z83">
        <v>253</v>
      </c>
      <c r="AA83">
        <v>170</v>
      </c>
      <c r="AB83">
        <v>132</v>
      </c>
      <c r="AC83">
        <v>156</v>
      </c>
      <c r="AD83">
        <v>2</v>
      </c>
      <c r="AE83">
        <v>182</v>
      </c>
      <c r="AF83">
        <v>135</v>
      </c>
      <c r="AG83">
        <v>102</v>
      </c>
      <c r="AH83">
        <v>14</v>
      </c>
      <c r="AI83">
        <v>109</v>
      </c>
      <c r="AJ83">
        <v>193</v>
      </c>
      <c r="AK83">
        <v>175</v>
      </c>
      <c r="AL83">
        <v>218</v>
      </c>
    </row>
    <row r="84" spans="6:38" x14ac:dyDescent="0.25">
      <c r="F84" s="36">
        <v>71</v>
      </c>
      <c r="G84">
        <v>87</v>
      </c>
      <c r="H84">
        <v>84</v>
      </c>
      <c r="I84">
        <v>172</v>
      </c>
      <c r="J84">
        <v>26</v>
      </c>
      <c r="K84">
        <v>213</v>
      </c>
      <c r="L84">
        <v>159</v>
      </c>
      <c r="M84">
        <v>252</v>
      </c>
      <c r="N84">
        <v>56</v>
      </c>
      <c r="O84">
        <v>180</v>
      </c>
      <c r="P84">
        <v>40</v>
      </c>
      <c r="Q84">
        <v>214</v>
      </c>
      <c r="R84">
        <v>208</v>
      </c>
      <c r="S84">
        <v>203</v>
      </c>
      <c r="T84">
        <v>136</v>
      </c>
      <c r="U84">
        <v>61</v>
      </c>
      <c r="V84">
        <v>166</v>
      </c>
      <c r="W84">
        <v>180</v>
      </c>
      <c r="X84">
        <v>213</v>
      </c>
      <c r="Y84">
        <v>241</v>
      </c>
      <c r="Z84">
        <v>20</v>
      </c>
      <c r="AA84">
        <v>179</v>
      </c>
      <c r="AB84">
        <v>126</v>
      </c>
      <c r="AC84">
        <v>199</v>
      </c>
      <c r="AD84">
        <v>165</v>
      </c>
      <c r="AE84">
        <v>84</v>
      </c>
      <c r="AF84">
        <v>144</v>
      </c>
      <c r="AG84">
        <v>2</v>
      </c>
      <c r="AH84">
        <v>133</v>
      </c>
      <c r="AI84">
        <v>114</v>
      </c>
      <c r="AJ84">
        <v>187</v>
      </c>
      <c r="AK84">
        <v>136</v>
      </c>
      <c r="AL84">
        <v>193</v>
      </c>
    </row>
    <row r="85" spans="6:38" x14ac:dyDescent="0.25">
      <c r="F85" s="36">
        <v>72</v>
      </c>
      <c r="G85">
        <v>29</v>
      </c>
      <c r="H85">
        <v>15</v>
      </c>
      <c r="I85">
        <v>181</v>
      </c>
      <c r="J85">
        <v>185</v>
      </c>
      <c r="K85">
        <v>180</v>
      </c>
      <c r="L85">
        <v>34</v>
      </c>
      <c r="M85">
        <v>54</v>
      </c>
      <c r="N85">
        <v>209</v>
      </c>
      <c r="O85">
        <v>175</v>
      </c>
      <c r="P85">
        <v>247</v>
      </c>
      <c r="Q85">
        <v>122</v>
      </c>
      <c r="R85">
        <v>155</v>
      </c>
      <c r="S85">
        <v>20</v>
      </c>
      <c r="T85">
        <v>183</v>
      </c>
      <c r="U85">
        <v>166</v>
      </c>
      <c r="V85">
        <v>177</v>
      </c>
      <c r="W85">
        <v>234</v>
      </c>
      <c r="X85">
        <v>111</v>
      </c>
      <c r="Y85">
        <v>53</v>
      </c>
      <c r="Z85">
        <v>93</v>
      </c>
      <c r="AA85">
        <v>206</v>
      </c>
      <c r="AB85">
        <v>188</v>
      </c>
      <c r="AC85">
        <v>204</v>
      </c>
      <c r="AD85">
        <v>135</v>
      </c>
      <c r="AE85">
        <v>91</v>
      </c>
      <c r="AF85">
        <v>187</v>
      </c>
      <c r="AG85">
        <v>229</v>
      </c>
      <c r="AH85">
        <v>110</v>
      </c>
      <c r="AI85">
        <v>125</v>
      </c>
      <c r="AJ85">
        <v>149</v>
      </c>
      <c r="AK85">
        <v>135</v>
      </c>
      <c r="AL85">
        <v>64</v>
      </c>
    </row>
    <row r="86" spans="6:38" x14ac:dyDescent="0.25">
      <c r="F86" s="36">
        <v>73</v>
      </c>
      <c r="G86">
        <v>38</v>
      </c>
      <c r="H86">
        <v>26</v>
      </c>
      <c r="I86">
        <v>249</v>
      </c>
      <c r="J86">
        <v>45</v>
      </c>
      <c r="K86">
        <v>55</v>
      </c>
      <c r="L86">
        <v>208</v>
      </c>
      <c r="M86">
        <v>70</v>
      </c>
      <c r="N86">
        <v>30</v>
      </c>
      <c r="O86">
        <v>89</v>
      </c>
      <c r="P86">
        <v>178</v>
      </c>
      <c r="Q86">
        <v>108</v>
      </c>
      <c r="R86">
        <v>175</v>
      </c>
      <c r="S86">
        <v>241</v>
      </c>
      <c r="T86">
        <v>196</v>
      </c>
      <c r="U86">
        <v>206</v>
      </c>
      <c r="V86">
        <v>143</v>
      </c>
      <c r="W86">
        <v>15</v>
      </c>
      <c r="X86">
        <v>7</v>
      </c>
      <c r="Y86">
        <v>159</v>
      </c>
      <c r="Z86">
        <v>40</v>
      </c>
      <c r="AA86">
        <v>197</v>
      </c>
      <c r="AB86">
        <v>140</v>
      </c>
      <c r="AC86">
        <v>153</v>
      </c>
      <c r="AD86">
        <v>56</v>
      </c>
      <c r="AE86">
        <v>177</v>
      </c>
      <c r="AF86">
        <v>71</v>
      </c>
      <c r="AG86">
        <v>18</v>
      </c>
      <c r="AH86">
        <v>192</v>
      </c>
      <c r="AI86">
        <v>146</v>
      </c>
      <c r="AJ86">
        <v>179</v>
      </c>
      <c r="AK86">
        <v>149</v>
      </c>
      <c r="AL86">
        <v>178</v>
      </c>
    </row>
    <row r="87" spans="6:38" x14ac:dyDescent="0.25">
      <c r="F87" s="36">
        <v>74</v>
      </c>
      <c r="G87">
        <v>189</v>
      </c>
      <c r="H87">
        <v>210</v>
      </c>
      <c r="I87">
        <v>124</v>
      </c>
      <c r="J87">
        <v>37</v>
      </c>
      <c r="K87">
        <v>4</v>
      </c>
      <c r="L87">
        <v>43</v>
      </c>
      <c r="M87">
        <v>16</v>
      </c>
      <c r="N87">
        <v>150</v>
      </c>
      <c r="O87">
        <v>104</v>
      </c>
      <c r="P87">
        <v>104</v>
      </c>
      <c r="Q87">
        <v>90</v>
      </c>
      <c r="R87">
        <v>71</v>
      </c>
      <c r="S87">
        <v>22</v>
      </c>
      <c r="T87">
        <v>43</v>
      </c>
      <c r="U87">
        <v>131</v>
      </c>
      <c r="V87">
        <v>73</v>
      </c>
      <c r="W87">
        <v>85</v>
      </c>
      <c r="X87">
        <v>59</v>
      </c>
      <c r="Y87">
        <v>143</v>
      </c>
      <c r="Z87">
        <v>230</v>
      </c>
      <c r="AA87">
        <v>250</v>
      </c>
      <c r="AB87">
        <v>206</v>
      </c>
      <c r="AC87">
        <v>158</v>
      </c>
      <c r="AD87">
        <v>221</v>
      </c>
      <c r="AE87">
        <v>0</v>
      </c>
      <c r="AF87">
        <v>99</v>
      </c>
      <c r="AG87">
        <v>113</v>
      </c>
      <c r="AH87">
        <v>59</v>
      </c>
      <c r="AI87">
        <v>188</v>
      </c>
      <c r="AJ87">
        <v>35</v>
      </c>
      <c r="AK87">
        <v>219</v>
      </c>
      <c r="AL87">
        <v>78</v>
      </c>
    </row>
    <row r="88" spans="6:38" x14ac:dyDescent="0.25">
      <c r="F88" s="36">
        <v>75</v>
      </c>
      <c r="G88">
        <v>239</v>
      </c>
      <c r="H88">
        <v>30</v>
      </c>
      <c r="I88">
        <v>37</v>
      </c>
      <c r="J88">
        <v>231</v>
      </c>
      <c r="K88">
        <v>28</v>
      </c>
      <c r="L88">
        <v>225</v>
      </c>
      <c r="M88">
        <v>227</v>
      </c>
      <c r="N88">
        <v>206</v>
      </c>
      <c r="O88">
        <v>117</v>
      </c>
      <c r="P88">
        <v>182</v>
      </c>
      <c r="Q88">
        <v>192</v>
      </c>
      <c r="R88">
        <v>146</v>
      </c>
      <c r="S88">
        <v>41</v>
      </c>
      <c r="T88">
        <v>9</v>
      </c>
      <c r="U88">
        <v>73</v>
      </c>
      <c r="V88">
        <v>10</v>
      </c>
      <c r="W88">
        <v>12</v>
      </c>
      <c r="X88">
        <v>65</v>
      </c>
      <c r="Y88">
        <v>55</v>
      </c>
      <c r="Z88">
        <v>81</v>
      </c>
      <c r="AA88">
        <v>145</v>
      </c>
      <c r="AB88">
        <v>45</v>
      </c>
      <c r="AC88">
        <v>55</v>
      </c>
      <c r="AD88">
        <v>165</v>
      </c>
      <c r="AE88">
        <v>132</v>
      </c>
      <c r="AF88">
        <v>205</v>
      </c>
      <c r="AG88">
        <v>252</v>
      </c>
      <c r="AH88">
        <v>71</v>
      </c>
      <c r="AI88">
        <v>138</v>
      </c>
      <c r="AJ88">
        <v>16</v>
      </c>
      <c r="AK88">
        <v>243</v>
      </c>
      <c r="AL88">
        <v>4</v>
      </c>
    </row>
    <row r="89" spans="6:38" x14ac:dyDescent="0.25">
      <c r="F89" s="36">
        <v>76</v>
      </c>
      <c r="G89">
        <v>43</v>
      </c>
      <c r="H89">
        <v>61</v>
      </c>
      <c r="I89">
        <v>160</v>
      </c>
      <c r="J89">
        <v>122</v>
      </c>
      <c r="K89">
        <v>113</v>
      </c>
      <c r="L89">
        <v>215</v>
      </c>
      <c r="M89">
        <v>80</v>
      </c>
      <c r="N89">
        <v>86</v>
      </c>
      <c r="O89">
        <v>147</v>
      </c>
      <c r="P89">
        <v>170</v>
      </c>
      <c r="Q89">
        <v>62</v>
      </c>
      <c r="R89">
        <v>21</v>
      </c>
      <c r="S89">
        <v>209</v>
      </c>
      <c r="T89">
        <v>116</v>
      </c>
      <c r="U89">
        <v>45</v>
      </c>
      <c r="V89">
        <v>201</v>
      </c>
      <c r="W89">
        <v>157</v>
      </c>
      <c r="X89">
        <v>39</v>
      </c>
      <c r="Y89">
        <v>88</v>
      </c>
      <c r="Z89">
        <v>21</v>
      </c>
      <c r="AA89">
        <v>128</v>
      </c>
      <c r="AB89">
        <v>160</v>
      </c>
      <c r="AC89">
        <v>116</v>
      </c>
      <c r="AD89">
        <v>80</v>
      </c>
      <c r="AE89">
        <v>111</v>
      </c>
      <c r="AF89">
        <v>151</v>
      </c>
      <c r="AG89">
        <v>159</v>
      </c>
      <c r="AH89">
        <v>225</v>
      </c>
      <c r="AI89">
        <v>25</v>
      </c>
      <c r="AJ89">
        <v>71</v>
      </c>
      <c r="AK89">
        <v>31</v>
      </c>
      <c r="AL89">
        <v>140</v>
      </c>
    </row>
    <row r="90" spans="6:38" x14ac:dyDescent="0.25">
      <c r="F90" s="36">
        <v>77</v>
      </c>
      <c r="G90">
        <v>131</v>
      </c>
      <c r="H90">
        <v>189</v>
      </c>
      <c r="I90">
        <v>21</v>
      </c>
      <c r="J90">
        <v>148</v>
      </c>
      <c r="K90">
        <v>51</v>
      </c>
      <c r="L90">
        <v>222</v>
      </c>
      <c r="M90">
        <v>183</v>
      </c>
      <c r="N90">
        <v>144</v>
      </c>
      <c r="O90">
        <v>141</v>
      </c>
      <c r="P90">
        <v>254</v>
      </c>
      <c r="Q90">
        <v>43</v>
      </c>
      <c r="R90">
        <v>245</v>
      </c>
      <c r="S90">
        <v>20</v>
      </c>
      <c r="T90">
        <v>240</v>
      </c>
      <c r="U90">
        <v>179</v>
      </c>
      <c r="V90">
        <v>108</v>
      </c>
      <c r="W90">
        <v>165</v>
      </c>
      <c r="X90">
        <v>111</v>
      </c>
      <c r="Y90">
        <v>33</v>
      </c>
      <c r="Z90">
        <v>83</v>
      </c>
      <c r="AA90">
        <v>81</v>
      </c>
      <c r="AB90">
        <v>73</v>
      </c>
      <c r="AC90">
        <v>127</v>
      </c>
      <c r="AD90">
        <v>123</v>
      </c>
      <c r="AE90">
        <v>103</v>
      </c>
      <c r="AF90">
        <v>79</v>
      </c>
      <c r="AG90">
        <v>232</v>
      </c>
      <c r="AH90">
        <v>235</v>
      </c>
      <c r="AI90">
        <v>6</v>
      </c>
      <c r="AJ90">
        <v>143</v>
      </c>
      <c r="AK90">
        <v>26</v>
      </c>
      <c r="AL90">
        <v>184</v>
      </c>
    </row>
    <row r="91" spans="6:38" x14ac:dyDescent="0.25">
      <c r="F91" s="36">
        <v>78</v>
      </c>
      <c r="G91">
        <v>8</v>
      </c>
      <c r="H91">
        <v>135</v>
      </c>
      <c r="I91">
        <v>184</v>
      </c>
      <c r="J91">
        <v>85</v>
      </c>
      <c r="K91">
        <v>101</v>
      </c>
      <c r="L91">
        <v>237</v>
      </c>
      <c r="M91">
        <v>106</v>
      </c>
      <c r="N91">
        <v>134</v>
      </c>
      <c r="O91">
        <v>157</v>
      </c>
      <c r="P91">
        <v>1</v>
      </c>
      <c r="Q91">
        <v>241</v>
      </c>
      <c r="R91">
        <v>94</v>
      </c>
      <c r="S91">
        <v>77</v>
      </c>
      <c r="T91">
        <v>39</v>
      </c>
      <c r="U91">
        <v>37</v>
      </c>
      <c r="V91">
        <v>1</v>
      </c>
      <c r="W91">
        <v>217</v>
      </c>
      <c r="X91">
        <v>197</v>
      </c>
      <c r="Y91">
        <v>6</v>
      </c>
      <c r="Z91">
        <v>11</v>
      </c>
      <c r="AA91">
        <v>199</v>
      </c>
      <c r="AB91">
        <v>149</v>
      </c>
      <c r="AC91">
        <v>141</v>
      </c>
      <c r="AD91">
        <v>43</v>
      </c>
      <c r="AE91">
        <v>19</v>
      </c>
      <c r="AF91">
        <v>123</v>
      </c>
      <c r="AG91">
        <v>103</v>
      </c>
      <c r="AH91">
        <v>243</v>
      </c>
      <c r="AI91">
        <v>152</v>
      </c>
      <c r="AJ91">
        <v>108</v>
      </c>
      <c r="AK91">
        <v>86</v>
      </c>
      <c r="AL91">
        <v>125</v>
      </c>
    </row>
    <row r="92" spans="6:38" x14ac:dyDescent="0.25">
      <c r="F92" s="36">
        <v>79</v>
      </c>
      <c r="G92">
        <v>29</v>
      </c>
      <c r="H92">
        <v>127</v>
      </c>
      <c r="I92">
        <v>129</v>
      </c>
      <c r="J92">
        <v>108</v>
      </c>
      <c r="K92">
        <v>238</v>
      </c>
      <c r="L92">
        <v>163</v>
      </c>
      <c r="M92">
        <v>251</v>
      </c>
      <c r="N92">
        <v>95</v>
      </c>
      <c r="O92">
        <v>166</v>
      </c>
      <c r="P92">
        <v>251</v>
      </c>
      <c r="Q92">
        <v>54</v>
      </c>
      <c r="R92">
        <v>5</v>
      </c>
      <c r="S92">
        <v>33</v>
      </c>
      <c r="T92">
        <v>44</v>
      </c>
      <c r="U92">
        <v>94</v>
      </c>
      <c r="V92">
        <v>83</v>
      </c>
      <c r="W92">
        <v>137</v>
      </c>
      <c r="X92">
        <v>247</v>
      </c>
      <c r="Y92">
        <v>131</v>
      </c>
      <c r="Z92">
        <v>26</v>
      </c>
      <c r="AA92">
        <v>176</v>
      </c>
      <c r="AB92">
        <v>118</v>
      </c>
      <c r="AC92">
        <v>134</v>
      </c>
      <c r="AD92">
        <v>232</v>
      </c>
      <c r="AE92">
        <v>142</v>
      </c>
      <c r="AF92">
        <v>129</v>
      </c>
      <c r="AG92">
        <v>223</v>
      </c>
      <c r="AH92">
        <v>147</v>
      </c>
      <c r="AI92">
        <v>68</v>
      </c>
      <c r="AJ92">
        <v>119</v>
      </c>
      <c r="AK92">
        <v>91</v>
      </c>
      <c r="AL92">
        <v>117</v>
      </c>
    </row>
    <row r="93" spans="6:38" x14ac:dyDescent="0.25">
      <c r="F93" s="36">
        <v>80</v>
      </c>
      <c r="G93">
        <v>255</v>
      </c>
      <c r="H93">
        <v>208</v>
      </c>
      <c r="I93">
        <v>8</v>
      </c>
      <c r="J93">
        <v>39</v>
      </c>
      <c r="K93">
        <v>79</v>
      </c>
      <c r="L93">
        <v>87</v>
      </c>
      <c r="M93">
        <v>231</v>
      </c>
      <c r="N93">
        <v>58</v>
      </c>
      <c r="O93">
        <v>225</v>
      </c>
      <c r="P93">
        <v>219</v>
      </c>
      <c r="Q93">
        <v>232</v>
      </c>
      <c r="R93">
        <v>179</v>
      </c>
      <c r="S93">
        <v>191</v>
      </c>
      <c r="T93">
        <v>155</v>
      </c>
      <c r="U93">
        <v>187</v>
      </c>
      <c r="V93">
        <v>117</v>
      </c>
      <c r="W93">
        <v>49</v>
      </c>
      <c r="X93">
        <v>233</v>
      </c>
      <c r="Y93">
        <v>8</v>
      </c>
      <c r="Z93">
        <v>40</v>
      </c>
      <c r="AA93">
        <v>111</v>
      </c>
      <c r="AB93">
        <v>34</v>
      </c>
      <c r="AC93">
        <v>86</v>
      </c>
      <c r="AD93">
        <v>54</v>
      </c>
      <c r="AE93">
        <v>131</v>
      </c>
      <c r="AF93">
        <v>121</v>
      </c>
      <c r="AG93">
        <v>85</v>
      </c>
      <c r="AH93">
        <v>170</v>
      </c>
      <c r="AI93">
        <v>99</v>
      </c>
      <c r="AJ93">
        <v>71</v>
      </c>
      <c r="AK93">
        <v>72</v>
      </c>
      <c r="AL93">
        <v>235</v>
      </c>
    </row>
    <row r="94" spans="6:38" x14ac:dyDescent="0.25">
      <c r="F94" s="36">
        <v>81</v>
      </c>
      <c r="G94">
        <v>249</v>
      </c>
      <c r="H94">
        <v>123</v>
      </c>
      <c r="I94">
        <v>189</v>
      </c>
      <c r="J94">
        <v>178</v>
      </c>
      <c r="K94">
        <v>171</v>
      </c>
      <c r="L94">
        <v>202</v>
      </c>
      <c r="M94">
        <v>58</v>
      </c>
      <c r="N94">
        <v>42</v>
      </c>
      <c r="O94">
        <v>98</v>
      </c>
      <c r="P94">
        <v>177</v>
      </c>
      <c r="Q94">
        <v>254</v>
      </c>
      <c r="R94">
        <v>157</v>
      </c>
      <c r="S94">
        <v>175</v>
      </c>
      <c r="T94">
        <v>67</v>
      </c>
      <c r="U94">
        <v>203</v>
      </c>
      <c r="V94">
        <v>246</v>
      </c>
      <c r="W94">
        <v>208</v>
      </c>
      <c r="X94">
        <v>210</v>
      </c>
      <c r="Y94">
        <v>137</v>
      </c>
      <c r="Z94">
        <v>156</v>
      </c>
      <c r="AA94">
        <v>128</v>
      </c>
      <c r="AB94">
        <v>214</v>
      </c>
      <c r="AC94">
        <v>203</v>
      </c>
      <c r="AD94">
        <v>191</v>
      </c>
      <c r="AE94">
        <v>47</v>
      </c>
      <c r="AF94">
        <v>35</v>
      </c>
      <c r="AG94">
        <v>127</v>
      </c>
      <c r="AH94">
        <v>77</v>
      </c>
      <c r="AI94">
        <v>229</v>
      </c>
      <c r="AJ94">
        <v>165</v>
      </c>
      <c r="AK94">
        <v>141</v>
      </c>
      <c r="AL94">
        <v>55</v>
      </c>
    </row>
    <row r="95" spans="6:38" x14ac:dyDescent="0.25">
      <c r="F95" s="36">
        <v>82</v>
      </c>
      <c r="G95">
        <v>235</v>
      </c>
      <c r="H95">
        <v>221</v>
      </c>
      <c r="I95">
        <v>241</v>
      </c>
      <c r="J95">
        <v>76</v>
      </c>
      <c r="K95">
        <v>15</v>
      </c>
      <c r="L95">
        <v>176</v>
      </c>
      <c r="M95">
        <v>120</v>
      </c>
      <c r="N95">
        <v>224</v>
      </c>
      <c r="O95">
        <v>193</v>
      </c>
      <c r="P95">
        <v>243</v>
      </c>
      <c r="Q95">
        <v>77</v>
      </c>
      <c r="R95">
        <v>92</v>
      </c>
      <c r="S95">
        <v>43</v>
      </c>
      <c r="T95">
        <v>193</v>
      </c>
      <c r="U95">
        <v>127</v>
      </c>
      <c r="V95">
        <v>153</v>
      </c>
      <c r="W95">
        <v>169</v>
      </c>
      <c r="X95">
        <v>30</v>
      </c>
      <c r="Y95">
        <v>238</v>
      </c>
      <c r="Z95">
        <v>154</v>
      </c>
      <c r="AA95">
        <v>244</v>
      </c>
      <c r="AB95">
        <v>39</v>
      </c>
      <c r="AC95">
        <v>191</v>
      </c>
      <c r="AD95">
        <v>39</v>
      </c>
      <c r="AE95">
        <v>31</v>
      </c>
      <c r="AF95">
        <v>151</v>
      </c>
      <c r="AG95">
        <v>228</v>
      </c>
      <c r="AH95">
        <v>73</v>
      </c>
      <c r="AI95">
        <v>178</v>
      </c>
      <c r="AJ95">
        <v>233</v>
      </c>
      <c r="AK95">
        <v>186</v>
      </c>
      <c r="AL95">
        <v>155</v>
      </c>
    </row>
    <row r="96" spans="6:38" x14ac:dyDescent="0.25">
      <c r="F96" s="36">
        <v>83</v>
      </c>
      <c r="G96">
        <v>190</v>
      </c>
      <c r="H96">
        <v>154</v>
      </c>
      <c r="I96">
        <v>12</v>
      </c>
      <c r="J96">
        <v>144</v>
      </c>
      <c r="K96">
        <v>99</v>
      </c>
      <c r="L96">
        <v>219</v>
      </c>
      <c r="M96">
        <v>131</v>
      </c>
      <c r="N96">
        <v>81</v>
      </c>
      <c r="O96">
        <v>251</v>
      </c>
      <c r="P96">
        <v>117</v>
      </c>
      <c r="Q96">
        <v>147</v>
      </c>
      <c r="R96">
        <v>239</v>
      </c>
      <c r="S96">
        <v>0</v>
      </c>
      <c r="T96">
        <v>193</v>
      </c>
      <c r="U96">
        <v>169</v>
      </c>
      <c r="V96">
        <v>217</v>
      </c>
      <c r="W96">
        <v>124</v>
      </c>
      <c r="X96">
        <v>46</v>
      </c>
      <c r="Y96">
        <v>146</v>
      </c>
      <c r="Z96">
        <v>241</v>
      </c>
      <c r="AA96">
        <v>18</v>
      </c>
      <c r="AB96">
        <v>45</v>
      </c>
      <c r="AC96">
        <v>180</v>
      </c>
      <c r="AD96">
        <v>182</v>
      </c>
      <c r="AE96">
        <v>36</v>
      </c>
      <c r="AF96">
        <v>85</v>
      </c>
      <c r="AG96">
        <v>65</v>
      </c>
      <c r="AH96">
        <v>205</v>
      </c>
      <c r="AI96">
        <v>51</v>
      </c>
      <c r="AJ96">
        <v>228</v>
      </c>
      <c r="AK96">
        <v>115</v>
      </c>
      <c r="AL96">
        <v>218</v>
      </c>
    </row>
    <row r="97" spans="6:38" x14ac:dyDescent="0.25">
      <c r="F97" s="36">
        <v>84</v>
      </c>
      <c r="G97">
        <v>76</v>
      </c>
      <c r="H97">
        <v>204</v>
      </c>
      <c r="I97">
        <v>230</v>
      </c>
      <c r="J97">
        <v>146</v>
      </c>
      <c r="K97">
        <v>243</v>
      </c>
      <c r="L97">
        <v>69</v>
      </c>
      <c r="M97">
        <v>126</v>
      </c>
      <c r="N97">
        <v>105</v>
      </c>
      <c r="O97">
        <v>211</v>
      </c>
      <c r="P97">
        <v>231</v>
      </c>
      <c r="Q97">
        <v>250</v>
      </c>
      <c r="R97">
        <v>123</v>
      </c>
      <c r="S97">
        <v>167</v>
      </c>
      <c r="T97">
        <v>84</v>
      </c>
      <c r="U97">
        <v>173</v>
      </c>
      <c r="V97">
        <v>135</v>
      </c>
      <c r="W97">
        <v>154</v>
      </c>
      <c r="X97">
        <v>5</v>
      </c>
      <c r="Y97">
        <v>248</v>
      </c>
      <c r="Z97">
        <v>139</v>
      </c>
      <c r="AA97">
        <v>238</v>
      </c>
      <c r="AB97">
        <v>149</v>
      </c>
      <c r="AC97">
        <v>27</v>
      </c>
      <c r="AD97">
        <v>158</v>
      </c>
      <c r="AE97">
        <v>178</v>
      </c>
      <c r="AF97">
        <v>47</v>
      </c>
      <c r="AG97">
        <v>64</v>
      </c>
      <c r="AH97">
        <v>5</v>
      </c>
      <c r="AI97">
        <v>14</v>
      </c>
      <c r="AJ97">
        <v>73</v>
      </c>
      <c r="AK97">
        <v>225</v>
      </c>
      <c r="AL97">
        <v>221</v>
      </c>
    </row>
    <row r="98" spans="6:38" x14ac:dyDescent="0.25">
      <c r="F98" s="36">
        <v>85</v>
      </c>
      <c r="G98">
        <v>173</v>
      </c>
      <c r="H98">
        <v>33</v>
      </c>
      <c r="I98">
        <v>131</v>
      </c>
      <c r="J98">
        <v>81</v>
      </c>
      <c r="K98">
        <v>207</v>
      </c>
      <c r="L98">
        <v>0</v>
      </c>
      <c r="M98">
        <v>39</v>
      </c>
      <c r="N98">
        <v>77</v>
      </c>
      <c r="O98">
        <v>85</v>
      </c>
      <c r="P98">
        <v>149</v>
      </c>
      <c r="Q98">
        <v>52</v>
      </c>
      <c r="R98">
        <v>1</v>
      </c>
      <c r="S98">
        <v>49</v>
      </c>
      <c r="T98">
        <v>142</v>
      </c>
      <c r="U98">
        <v>115</v>
      </c>
      <c r="V98">
        <v>194</v>
      </c>
      <c r="W98">
        <v>182</v>
      </c>
      <c r="X98">
        <v>69</v>
      </c>
      <c r="Y98">
        <v>75</v>
      </c>
      <c r="Z98">
        <v>9</v>
      </c>
      <c r="AA98">
        <v>244</v>
      </c>
      <c r="AB98">
        <v>98</v>
      </c>
      <c r="AC98">
        <v>217</v>
      </c>
      <c r="AD98">
        <v>203</v>
      </c>
      <c r="AE98">
        <v>238</v>
      </c>
      <c r="AF98">
        <v>63</v>
      </c>
      <c r="AG98">
        <v>216</v>
      </c>
      <c r="AH98">
        <v>173</v>
      </c>
      <c r="AI98">
        <v>171</v>
      </c>
      <c r="AJ98">
        <v>249</v>
      </c>
      <c r="AK98">
        <v>98</v>
      </c>
      <c r="AL98">
        <v>201</v>
      </c>
    </row>
    <row r="99" spans="6:38" x14ac:dyDescent="0.25">
      <c r="F99" s="36">
        <v>86</v>
      </c>
      <c r="G99">
        <v>112</v>
      </c>
      <c r="H99">
        <v>239</v>
      </c>
      <c r="I99">
        <v>204</v>
      </c>
      <c r="J99">
        <v>93</v>
      </c>
      <c r="K99">
        <v>79</v>
      </c>
      <c r="L99">
        <v>133</v>
      </c>
      <c r="M99">
        <v>218</v>
      </c>
      <c r="N99">
        <v>14</v>
      </c>
      <c r="O99">
        <v>115</v>
      </c>
      <c r="P99">
        <v>144</v>
      </c>
      <c r="Q99">
        <v>7</v>
      </c>
      <c r="R99">
        <v>19</v>
      </c>
      <c r="S99">
        <v>88</v>
      </c>
      <c r="T99">
        <v>136</v>
      </c>
      <c r="U99">
        <v>92</v>
      </c>
      <c r="V99">
        <v>149</v>
      </c>
      <c r="W99">
        <v>159</v>
      </c>
      <c r="X99">
        <v>49</v>
      </c>
      <c r="Y99">
        <v>234</v>
      </c>
      <c r="Z99">
        <v>168</v>
      </c>
      <c r="AA99">
        <v>88</v>
      </c>
      <c r="AB99">
        <v>254</v>
      </c>
      <c r="AC99">
        <v>117</v>
      </c>
      <c r="AD99">
        <v>110</v>
      </c>
      <c r="AE99">
        <v>241</v>
      </c>
      <c r="AF99">
        <v>173</v>
      </c>
      <c r="AG99">
        <v>148</v>
      </c>
      <c r="AH99">
        <v>251</v>
      </c>
      <c r="AI99">
        <v>250</v>
      </c>
      <c r="AJ99">
        <v>172</v>
      </c>
      <c r="AK99">
        <v>83</v>
      </c>
      <c r="AL99">
        <v>158</v>
      </c>
    </row>
    <row r="100" spans="6:38" x14ac:dyDescent="0.25">
      <c r="F100" s="36">
        <v>87</v>
      </c>
      <c r="G100">
        <v>160</v>
      </c>
      <c r="H100">
        <v>126</v>
      </c>
      <c r="I100">
        <v>39</v>
      </c>
      <c r="J100">
        <v>223</v>
      </c>
      <c r="K100">
        <v>242</v>
      </c>
      <c r="L100">
        <v>159</v>
      </c>
      <c r="M100">
        <v>154</v>
      </c>
      <c r="N100">
        <v>82</v>
      </c>
      <c r="O100">
        <v>57</v>
      </c>
      <c r="P100">
        <v>106</v>
      </c>
      <c r="Q100">
        <v>58</v>
      </c>
      <c r="R100">
        <v>76</v>
      </c>
      <c r="S100">
        <v>103</v>
      </c>
      <c r="T100">
        <v>87</v>
      </c>
      <c r="U100">
        <v>62</v>
      </c>
      <c r="V100">
        <v>92</v>
      </c>
      <c r="W100">
        <v>164</v>
      </c>
      <c r="X100">
        <v>95</v>
      </c>
      <c r="Y100">
        <v>155</v>
      </c>
      <c r="Z100">
        <v>180</v>
      </c>
      <c r="AA100">
        <v>149</v>
      </c>
      <c r="AB100">
        <v>209</v>
      </c>
      <c r="AC100">
        <v>241</v>
      </c>
      <c r="AD100">
        <v>149</v>
      </c>
      <c r="AE100">
        <v>104</v>
      </c>
      <c r="AF100">
        <v>146</v>
      </c>
      <c r="AG100">
        <v>39</v>
      </c>
      <c r="AH100">
        <v>244</v>
      </c>
      <c r="AI100">
        <v>84</v>
      </c>
      <c r="AJ100">
        <v>81</v>
      </c>
      <c r="AK100">
        <v>153</v>
      </c>
      <c r="AL100">
        <v>21</v>
      </c>
    </row>
    <row r="101" spans="6:38" x14ac:dyDescent="0.25">
      <c r="F101" s="36">
        <v>88</v>
      </c>
      <c r="G101">
        <v>134</v>
      </c>
      <c r="H101">
        <v>36</v>
      </c>
      <c r="I101">
        <v>174</v>
      </c>
      <c r="J101">
        <v>98</v>
      </c>
      <c r="K101">
        <v>121</v>
      </c>
      <c r="L101">
        <v>255</v>
      </c>
      <c r="M101">
        <v>206</v>
      </c>
      <c r="N101">
        <v>145</v>
      </c>
      <c r="O101">
        <v>93</v>
      </c>
      <c r="P101">
        <v>58</v>
      </c>
      <c r="Q101">
        <v>159</v>
      </c>
      <c r="R101">
        <v>165</v>
      </c>
      <c r="S101">
        <v>252</v>
      </c>
      <c r="T101">
        <v>157</v>
      </c>
      <c r="U101">
        <v>244</v>
      </c>
      <c r="V101">
        <v>37</v>
      </c>
      <c r="W101">
        <v>238</v>
      </c>
      <c r="X101">
        <v>200</v>
      </c>
      <c r="Y101">
        <v>183</v>
      </c>
      <c r="Z101">
        <v>1</v>
      </c>
      <c r="AA101">
        <v>62</v>
      </c>
      <c r="AB101">
        <v>18</v>
      </c>
      <c r="AC101">
        <v>17</v>
      </c>
      <c r="AD101">
        <v>30</v>
      </c>
      <c r="AE101">
        <v>242</v>
      </c>
      <c r="AF101">
        <v>23</v>
      </c>
      <c r="AG101">
        <v>54</v>
      </c>
      <c r="AH101">
        <v>252</v>
      </c>
      <c r="AI101">
        <v>105</v>
      </c>
      <c r="AJ101">
        <v>249</v>
      </c>
      <c r="AK101">
        <v>147</v>
      </c>
      <c r="AL101">
        <v>165</v>
      </c>
    </row>
    <row r="102" spans="6:38" x14ac:dyDescent="0.25">
      <c r="F102" s="36">
        <v>89</v>
      </c>
      <c r="G102">
        <v>122</v>
      </c>
      <c r="H102">
        <v>81</v>
      </c>
      <c r="I102">
        <v>65</v>
      </c>
      <c r="J102">
        <v>235</v>
      </c>
      <c r="K102">
        <v>152</v>
      </c>
      <c r="L102">
        <v>181</v>
      </c>
      <c r="M102">
        <v>90</v>
      </c>
      <c r="N102">
        <v>35</v>
      </c>
      <c r="O102">
        <v>131</v>
      </c>
      <c r="P102">
        <v>133</v>
      </c>
      <c r="Q102">
        <v>66</v>
      </c>
      <c r="R102">
        <v>158</v>
      </c>
      <c r="S102">
        <v>132</v>
      </c>
      <c r="T102">
        <v>240</v>
      </c>
      <c r="U102">
        <v>3</v>
      </c>
      <c r="V102">
        <v>213</v>
      </c>
      <c r="W102">
        <v>144</v>
      </c>
      <c r="X102">
        <v>145</v>
      </c>
      <c r="Y102">
        <v>134</v>
      </c>
      <c r="Z102">
        <v>54</v>
      </c>
      <c r="AA102">
        <v>121</v>
      </c>
      <c r="AB102">
        <v>206</v>
      </c>
      <c r="AC102">
        <v>152</v>
      </c>
      <c r="AD102">
        <v>169</v>
      </c>
      <c r="AE102">
        <v>121</v>
      </c>
      <c r="AF102">
        <v>76</v>
      </c>
      <c r="AG102">
        <v>18</v>
      </c>
      <c r="AH102">
        <v>25</v>
      </c>
      <c r="AI102">
        <v>168</v>
      </c>
      <c r="AJ102">
        <v>112</v>
      </c>
      <c r="AK102">
        <v>204</v>
      </c>
      <c r="AL102">
        <v>55</v>
      </c>
    </row>
    <row r="103" spans="6:38" x14ac:dyDescent="0.25">
      <c r="F103" s="36">
        <v>90</v>
      </c>
      <c r="G103">
        <v>17</v>
      </c>
      <c r="H103">
        <v>69</v>
      </c>
      <c r="I103">
        <v>174</v>
      </c>
      <c r="J103">
        <v>207</v>
      </c>
      <c r="K103">
        <v>17</v>
      </c>
      <c r="L103">
        <v>110</v>
      </c>
      <c r="M103">
        <v>154</v>
      </c>
      <c r="N103">
        <v>181</v>
      </c>
      <c r="O103">
        <v>67</v>
      </c>
      <c r="P103">
        <v>145</v>
      </c>
      <c r="Q103">
        <v>58</v>
      </c>
      <c r="R103">
        <v>130</v>
      </c>
      <c r="S103">
        <v>240</v>
      </c>
      <c r="T103">
        <v>210</v>
      </c>
      <c r="U103">
        <v>78</v>
      </c>
      <c r="V103">
        <v>217</v>
      </c>
      <c r="W103">
        <v>2</v>
      </c>
      <c r="X103">
        <v>226</v>
      </c>
      <c r="Y103">
        <v>105</v>
      </c>
      <c r="Z103">
        <v>33</v>
      </c>
      <c r="AA103">
        <v>222</v>
      </c>
      <c r="AB103">
        <v>198</v>
      </c>
      <c r="AC103">
        <v>203</v>
      </c>
      <c r="AD103">
        <v>33</v>
      </c>
      <c r="AE103">
        <v>50</v>
      </c>
      <c r="AF103">
        <v>81</v>
      </c>
      <c r="AG103">
        <v>54</v>
      </c>
      <c r="AH103">
        <v>52</v>
      </c>
      <c r="AI103">
        <v>134</v>
      </c>
      <c r="AJ103">
        <v>132</v>
      </c>
      <c r="AK103">
        <v>175</v>
      </c>
      <c r="AL103">
        <v>196</v>
      </c>
    </row>
    <row r="104" spans="6:38" x14ac:dyDescent="0.25">
      <c r="F104" s="36">
        <v>91</v>
      </c>
      <c r="G104">
        <v>201</v>
      </c>
      <c r="H104">
        <v>110</v>
      </c>
      <c r="I104">
        <v>169</v>
      </c>
      <c r="J104">
        <v>185</v>
      </c>
      <c r="K104">
        <v>206</v>
      </c>
      <c r="L104">
        <v>103</v>
      </c>
      <c r="M104">
        <v>37</v>
      </c>
      <c r="N104">
        <v>24</v>
      </c>
      <c r="O104">
        <v>42</v>
      </c>
      <c r="P104">
        <v>25</v>
      </c>
      <c r="Q104">
        <v>222</v>
      </c>
      <c r="R104">
        <v>148</v>
      </c>
      <c r="S104">
        <v>59</v>
      </c>
      <c r="T104">
        <v>22</v>
      </c>
      <c r="U104">
        <v>209</v>
      </c>
      <c r="V104">
        <v>47</v>
      </c>
      <c r="W104">
        <v>80</v>
      </c>
      <c r="X104">
        <v>100</v>
      </c>
      <c r="Y104">
        <v>149</v>
      </c>
      <c r="Z104">
        <v>106</v>
      </c>
      <c r="AA104">
        <v>42</v>
      </c>
      <c r="AB104">
        <v>90</v>
      </c>
      <c r="AC104">
        <v>169</v>
      </c>
      <c r="AD104">
        <v>98</v>
      </c>
      <c r="AE104">
        <v>233</v>
      </c>
      <c r="AF104">
        <v>2</v>
      </c>
      <c r="AG104">
        <v>100</v>
      </c>
      <c r="AH104">
        <v>208</v>
      </c>
      <c r="AI104">
        <v>237</v>
      </c>
      <c r="AJ104">
        <v>24</v>
      </c>
      <c r="AK104">
        <v>251</v>
      </c>
      <c r="AL104">
        <v>190</v>
      </c>
    </row>
    <row r="105" spans="6:38" x14ac:dyDescent="0.25">
      <c r="F105" s="36">
        <v>92</v>
      </c>
      <c r="G105">
        <v>250</v>
      </c>
      <c r="H105">
        <v>6</v>
      </c>
      <c r="I105">
        <v>97</v>
      </c>
      <c r="J105">
        <v>208</v>
      </c>
      <c r="K105">
        <v>73</v>
      </c>
      <c r="L105">
        <v>82</v>
      </c>
      <c r="M105">
        <v>121</v>
      </c>
      <c r="N105">
        <v>142</v>
      </c>
      <c r="O105">
        <v>185</v>
      </c>
      <c r="P105">
        <v>133</v>
      </c>
      <c r="Q105">
        <v>81</v>
      </c>
      <c r="R105">
        <v>57</v>
      </c>
      <c r="S105">
        <v>228</v>
      </c>
      <c r="T105">
        <v>117</v>
      </c>
      <c r="U105">
        <v>20</v>
      </c>
      <c r="V105">
        <v>139</v>
      </c>
      <c r="W105">
        <v>207</v>
      </c>
      <c r="X105">
        <v>15</v>
      </c>
      <c r="Y105">
        <v>223</v>
      </c>
      <c r="Z105">
        <v>182</v>
      </c>
      <c r="AA105">
        <v>170</v>
      </c>
      <c r="AB105">
        <v>54</v>
      </c>
      <c r="AC105">
        <v>45</v>
      </c>
      <c r="AD105">
        <v>243</v>
      </c>
      <c r="AE105">
        <v>39</v>
      </c>
      <c r="AF105">
        <v>40</v>
      </c>
      <c r="AG105">
        <v>220</v>
      </c>
      <c r="AH105">
        <v>177</v>
      </c>
      <c r="AI105">
        <v>234</v>
      </c>
      <c r="AJ105">
        <v>191</v>
      </c>
      <c r="AK105">
        <v>255</v>
      </c>
      <c r="AL105">
        <v>109</v>
      </c>
    </row>
    <row r="106" spans="6:38" x14ac:dyDescent="0.25">
      <c r="F106" s="36">
        <v>93</v>
      </c>
      <c r="G106" s="35">
        <v>175</v>
      </c>
      <c r="H106" s="35">
        <v>202</v>
      </c>
      <c r="I106" s="35">
        <v>37</v>
      </c>
      <c r="J106" s="35">
        <v>183</v>
      </c>
      <c r="K106" s="35">
        <v>138</v>
      </c>
      <c r="L106" s="35">
        <v>95</v>
      </c>
      <c r="M106" s="35">
        <v>156</v>
      </c>
      <c r="N106" s="35">
        <v>51</v>
      </c>
      <c r="O106" s="35">
        <v>245</v>
      </c>
      <c r="P106" s="35">
        <v>156</v>
      </c>
      <c r="Q106" s="35">
        <v>190</v>
      </c>
      <c r="R106" s="35">
        <v>201</v>
      </c>
      <c r="S106" s="35">
        <v>138</v>
      </c>
      <c r="T106" s="35">
        <v>25</v>
      </c>
      <c r="U106" s="35">
        <v>162</v>
      </c>
      <c r="V106" s="35">
        <v>92</v>
      </c>
      <c r="W106" s="35">
        <v>60</v>
      </c>
      <c r="X106" s="35">
        <v>30</v>
      </c>
      <c r="Y106" s="35">
        <v>147</v>
      </c>
      <c r="Z106" s="35">
        <v>127</v>
      </c>
      <c r="AA106" s="35">
        <v>197</v>
      </c>
      <c r="AB106" s="35">
        <v>21</v>
      </c>
      <c r="AC106" s="35">
        <v>34</v>
      </c>
      <c r="AD106" s="35">
        <v>150</v>
      </c>
      <c r="AE106" s="35">
        <v>214</v>
      </c>
      <c r="AF106" s="35">
        <v>50</v>
      </c>
      <c r="AG106" s="35">
        <v>236</v>
      </c>
      <c r="AH106" s="35">
        <v>139</v>
      </c>
      <c r="AI106" s="35">
        <v>231</v>
      </c>
      <c r="AJ106" s="35">
        <v>225</v>
      </c>
      <c r="AK106" s="35">
        <v>230</v>
      </c>
      <c r="AL106" s="35">
        <v>245</v>
      </c>
    </row>
    <row r="107" spans="6:38" x14ac:dyDescent="0.25">
      <c r="F107" s="36">
        <v>94</v>
      </c>
      <c r="G107">
        <v>68</v>
      </c>
      <c r="H107">
        <v>0</v>
      </c>
      <c r="I107">
        <v>197</v>
      </c>
      <c r="J107">
        <v>199</v>
      </c>
      <c r="K107">
        <v>248</v>
      </c>
      <c r="L107">
        <v>13</v>
      </c>
      <c r="M107">
        <v>212</v>
      </c>
      <c r="N107">
        <v>33</v>
      </c>
      <c r="O107">
        <v>254</v>
      </c>
      <c r="P107">
        <v>80</v>
      </c>
      <c r="Q107">
        <v>78</v>
      </c>
      <c r="R107">
        <v>31</v>
      </c>
      <c r="S107">
        <v>106</v>
      </c>
      <c r="T107">
        <v>120</v>
      </c>
      <c r="U107">
        <v>180</v>
      </c>
      <c r="V107">
        <v>201</v>
      </c>
      <c r="W107">
        <v>186</v>
      </c>
      <c r="X107">
        <v>170</v>
      </c>
      <c r="Y107">
        <v>68</v>
      </c>
      <c r="Z107">
        <v>127</v>
      </c>
      <c r="AA107">
        <v>46</v>
      </c>
      <c r="AB107">
        <v>168</v>
      </c>
      <c r="AC107">
        <v>18</v>
      </c>
      <c r="AD107">
        <v>116</v>
      </c>
      <c r="AE107">
        <v>79</v>
      </c>
      <c r="AF107">
        <v>166</v>
      </c>
      <c r="AG107">
        <v>202</v>
      </c>
      <c r="AH107">
        <v>253</v>
      </c>
      <c r="AI107">
        <v>41</v>
      </c>
      <c r="AJ107">
        <v>53</v>
      </c>
      <c r="AK107">
        <v>130</v>
      </c>
      <c r="AL107">
        <v>118</v>
      </c>
    </row>
    <row r="108" spans="6:38" x14ac:dyDescent="0.25">
      <c r="F108" s="36">
        <v>95</v>
      </c>
      <c r="G108">
        <v>165</v>
      </c>
      <c r="H108">
        <v>168</v>
      </c>
      <c r="I108">
        <v>204</v>
      </c>
      <c r="J108">
        <v>8</v>
      </c>
      <c r="K108">
        <v>249</v>
      </c>
      <c r="L108">
        <v>168</v>
      </c>
      <c r="M108">
        <v>56</v>
      </c>
      <c r="N108">
        <v>24</v>
      </c>
      <c r="O108">
        <v>4</v>
      </c>
      <c r="P108">
        <v>226</v>
      </c>
      <c r="Q108">
        <v>114</v>
      </c>
      <c r="R108">
        <v>14</v>
      </c>
      <c r="S108">
        <v>12</v>
      </c>
      <c r="T108">
        <v>148</v>
      </c>
      <c r="U108">
        <v>207</v>
      </c>
      <c r="V108">
        <v>84</v>
      </c>
      <c r="W108">
        <v>74</v>
      </c>
      <c r="X108">
        <v>84</v>
      </c>
      <c r="Y108">
        <v>248</v>
      </c>
      <c r="Z108">
        <v>160</v>
      </c>
      <c r="AA108">
        <v>3</v>
      </c>
      <c r="AB108">
        <v>61</v>
      </c>
      <c r="AC108">
        <v>196</v>
      </c>
      <c r="AD108">
        <v>4</v>
      </c>
      <c r="AE108">
        <v>32</v>
      </c>
      <c r="AF108">
        <v>233</v>
      </c>
      <c r="AG108">
        <v>178</v>
      </c>
      <c r="AH108">
        <v>219</v>
      </c>
      <c r="AI108">
        <v>183</v>
      </c>
      <c r="AJ108">
        <v>129</v>
      </c>
      <c r="AK108">
        <v>251</v>
      </c>
      <c r="AL108">
        <v>200</v>
      </c>
    </row>
    <row r="109" spans="6:38" x14ac:dyDescent="0.25">
      <c r="F109" s="36">
        <v>96</v>
      </c>
      <c r="G109">
        <v>133</v>
      </c>
      <c r="H109">
        <v>57</v>
      </c>
      <c r="I109">
        <v>66</v>
      </c>
      <c r="J109">
        <v>131</v>
      </c>
      <c r="K109">
        <v>193</v>
      </c>
      <c r="L109">
        <v>132</v>
      </c>
      <c r="M109">
        <v>118</v>
      </c>
      <c r="N109">
        <v>31</v>
      </c>
      <c r="O109">
        <v>204</v>
      </c>
      <c r="P109">
        <v>158</v>
      </c>
      <c r="Q109">
        <v>182</v>
      </c>
      <c r="R109">
        <v>50</v>
      </c>
      <c r="S109">
        <v>214</v>
      </c>
      <c r="T109">
        <v>96</v>
      </c>
      <c r="U109">
        <v>248</v>
      </c>
      <c r="V109">
        <v>40</v>
      </c>
      <c r="W109">
        <v>205</v>
      </c>
      <c r="X109">
        <v>192</v>
      </c>
      <c r="Y109">
        <v>172</v>
      </c>
      <c r="Z109">
        <v>122</v>
      </c>
      <c r="AA109">
        <v>174</v>
      </c>
      <c r="AB109">
        <v>139</v>
      </c>
      <c r="AC109">
        <v>184</v>
      </c>
      <c r="AD109">
        <v>147</v>
      </c>
      <c r="AE109">
        <v>78</v>
      </c>
      <c r="AF109">
        <v>140</v>
      </c>
      <c r="AG109">
        <v>228</v>
      </c>
      <c r="AH109">
        <v>95</v>
      </c>
      <c r="AI109">
        <v>74</v>
      </c>
      <c r="AJ109">
        <v>151</v>
      </c>
      <c r="AK109">
        <v>133</v>
      </c>
      <c r="AL109">
        <v>82</v>
      </c>
    </row>
    <row r="110" spans="6:38" x14ac:dyDescent="0.25">
      <c r="F110" s="36">
        <v>97</v>
      </c>
      <c r="G110">
        <v>172</v>
      </c>
      <c r="H110">
        <v>206</v>
      </c>
      <c r="I110">
        <v>171</v>
      </c>
      <c r="J110">
        <v>69</v>
      </c>
      <c r="K110">
        <v>43</v>
      </c>
      <c r="L110">
        <v>254</v>
      </c>
      <c r="M110">
        <v>50</v>
      </c>
      <c r="N110">
        <v>14</v>
      </c>
      <c r="O110">
        <v>38</v>
      </c>
      <c r="P110">
        <v>79</v>
      </c>
      <c r="Q110">
        <v>64</v>
      </c>
      <c r="R110">
        <v>42</v>
      </c>
      <c r="S110">
        <v>22</v>
      </c>
      <c r="T110">
        <v>70</v>
      </c>
      <c r="U110">
        <v>215</v>
      </c>
      <c r="V110">
        <v>31</v>
      </c>
      <c r="W110">
        <v>43</v>
      </c>
      <c r="X110">
        <v>194</v>
      </c>
      <c r="Y110">
        <v>243</v>
      </c>
      <c r="Z110">
        <v>178</v>
      </c>
      <c r="AA110">
        <v>105</v>
      </c>
      <c r="AB110">
        <v>121</v>
      </c>
      <c r="AC110">
        <v>22</v>
      </c>
      <c r="AD110">
        <v>239</v>
      </c>
      <c r="AE110">
        <v>94</v>
      </c>
      <c r="AF110">
        <v>21</v>
      </c>
      <c r="AG110">
        <v>199</v>
      </c>
      <c r="AH110">
        <v>119</v>
      </c>
      <c r="AI110">
        <v>55</v>
      </c>
      <c r="AJ110">
        <v>246</v>
      </c>
      <c r="AK110">
        <v>191</v>
      </c>
      <c r="AL110">
        <v>27</v>
      </c>
    </row>
    <row r="111" spans="6:38" x14ac:dyDescent="0.25">
      <c r="F111" s="36">
        <v>98</v>
      </c>
      <c r="G111">
        <v>56</v>
      </c>
      <c r="H111">
        <v>149</v>
      </c>
      <c r="I111">
        <v>201</v>
      </c>
      <c r="J111">
        <v>50</v>
      </c>
      <c r="K111">
        <v>23</v>
      </c>
      <c r="L111">
        <v>134</v>
      </c>
      <c r="M111">
        <v>94</v>
      </c>
      <c r="N111">
        <v>144</v>
      </c>
      <c r="O111">
        <v>55</v>
      </c>
      <c r="P111">
        <v>183</v>
      </c>
      <c r="Q111">
        <v>86</v>
      </c>
      <c r="R111">
        <v>154</v>
      </c>
      <c r="S111">
        <v>156</v>
      </c>
      <c r="T111">
        <v>109</v>
      </c>
      <c r="U111">
        <v>167</v>
      </c>
      <c r="V111">
        <v>120</v>
      </c>
      <c r="W111">
        <v>96</v>
      </c>
      <c r="X111">
        <v>146</v>
      </c>
      <c r="Y111">
        <v>225</v>
      </c>
      <c r="Z111">
        <v>163</v>
      </c>
      <c r="AA111">
        <v>186</v>
      </c>
      <c r="AB111">
        <v>69</v>
      </c>
      <c r="AC111">
        <v>179</v>
      </c>
      <c r="AD111">
        <v>88</v>
      </c>
      <c r="AE111">
        <v>166</v>
      </c>
      <c r="AF111">
        <v>208</v>
      </c>
      <c r="AG111">
        <v>5</v>
      </c>
      <c r="AH111">
        <v>215</v>
      </c>
      <c r="AI111">
        <v>155</v>
      </c>
      <c r="AJ111">
        <v>60</v>
      </c>
      <c r="AK111">
        <v>173</v>
      </c>
      <c r="AL111">
        <v>173</v>
      </c>
    </row>
    <row r="112" spans="6:38" x14ac:dyDescent="0.25">
      <c r="F112" s="36">
        <v>99</v>
      </c>
      <c r="G112">
        <v>215</v>
      </c>
      <c r="H112">
        <v>184</v>
      </c>
      <c r="I112">
        <v>112</v>
      </c>
      <c r="J112">
        <v>137</v>
      </c>
      <c r="K112">
        <v>61</v>
      </c>
      <c r="L112">
        <v>183</v>
      </c>
      <c r="M112">
        <v>112</v>
      </c>
      <c r="N112">
        <v>53</v>
      </c>
      <c r="O112">
        <v>35</v>
      </c>
      <c r="P112">
        <v>54</v>
      </c>
      <c r="Q112">
        <v>232</v>
      </c>
      <c r="R112">
        <v>115</v>
      </c>
      <c r="S112">
        <v>59</v>
      </c>
      <c r="T112">
        <v>99</v>
      </c>
      <c r="U112">
        <v>114</v>
      </c>
      <c r="V112">
        <v>155</v>
      </c>
      <c r="W112">
        <v>237</v>
      </c>
      <c r="X112">
        <v>0</v>
      </c>
      <c r="Y112">
        <v>89</v>
      </c>
      <c r="Z112">
        <v>140</v>
      </c>
      <c r="AA112">
        <v>97</v>
      </c>
      <c r="AB112">
        <v>12</v>
      </c>
      <c r="AC112">
        <v>214</v>
      </c>
      <c r="AD112">
        <v>160</v>
      </c>
      <c r="AE112">
        <v>177</v>
      </c>
      <c r="AF112">
        <v>186</v>
      </c>
      <c r="AG112">
        <v>157</v>
      </c>
      <c r="AH112">
        <v>70</v>
      </c>
      <c r="AI112">
        <v>149</v>
      </c>
      <c r="AJ112">
        <v>207</v>
      </c>
      <c r="AK112">
        <v>124</v>
      </c>
      <c r="AL112">
        <v>186</v>
      </c>
    </row>
    <row r="113" spans="6:38" x14ac:dyDescent="0.25">
      <c r="F113" s="36">
        <v>100</v>
      </c>
      <c r="G113">
        <v>126</v>
      </c>
      <c r="H113">
        <v>148</v>
      </c>
      <c r="I113">
        <v>184</v>
      </c>
      <c r="J113">
        <v>170</v>
      </c>
      <c r="K113">
        <v>64</v>
      </c>
      <c r="L113">
        <v>152</v>
      </c>
      <c r="M113">
        <v>156</v>
      </c>
      <c r="N113">
        <v>71</v>
      </c>
      <c r="O113">
        <v>14</v>
      </c>
      <c r="P113">
        <v>147</v>
      </c>
      <c r="Q113">
        <v>247</v>
      </c>
      <c r="R113">
        <v>152</v>
      </c>
      <c r="S113">
        <v>49</v>
      </c>
      <c r="T113">
        <v>26</v>
      </c>
      <c r="U113">
        <v>73</v>
      </c>
      <c r="V113">
        <v>182</v>
      </c>
      <c r="W113">
        <v>15</v>
      </c>
      <c r="X113">
        <v>247</v>
      </c>
      <c r="Y113">
        <v>19</v>
      </c>
      <c r="Z113">
        <v>134</v>
      </c>
      <c r="AA113">
        <v>148</v>
      </c>
      <c r="AB113">
        <v>139</v>
      </c>
      <c r="AC113">
        <v>227</v>
      </c>
      <c r="AD113">
        <v>101</v>
      </c>
      <c r="AE113">
        <v>54</v>
      </c>
      <c r="AF113">
        <v>65</v>
      </c>
      <c r="AG113">
        <v>28</v>
      </c>
      <c r="AH113">
        <v>219</v>
      </c>
      <c r="AI113">
        <v>103</v>
      </c>
      <c r="AJ113">
        <v>173</v>
      </c>
      <c r="AK113">
        <v>192</v>
      </c>
      <c r="AL113">
        <v>128</v>
      </c>
    </row>
    <row r="114" spans="6:38" x14ac:dyDescent="0.25">
      <c r="F114" s="36">
        <v>101</v>
      </c>
      <c r="G114">
        <v>62</v>
      </c>
      <c r="H114">
        <v>138</v>
      </c>
      <c r="I114">
        <v>250</v>
      </c>
      <c r="J114">
        <v>21</v>
      </c>
      <c r="K114">
        <v>156</v>
      </c>
      <c r="L114">
        <v>21</v>
      </c>
      <c r="M114">
        <v>115</v>
      </c>
      <c r="N114">
        <v>90</v>
      </c>
      <c r="O114">
        <v>242</v>
      </c>
      <c r="P114">
        <v>114</v>
      </c>
      <c r="Q114">
        <v>131</v>
      </c>
      <c r="R114">
        <v>103</v>
      </c>
      <c r="S114">
        <v>20</v>
      </c>
      <c r="T114">
        <v>33</v>
      </c>
      <c r="U114">
        <v>72</v>
      </c>
      <c r="V114">
        <v>217</v>
      </c>
      <c r="W114">
        <v>201</v>
      </c>
      <c r="X114">
        <v>133</v>
      </c>
      <c r="Y114">
        <v>37</v>
      </c>
      <c r="Z114">
        <v>9</v>
      </c>
      <c r="AA114">
        <v>214</v>
      </c>
      <c r="AB114">
        <v>131</v>
      </c>
      <c r="AC114">
        <v>116</v>
      </c>
      <c r="AD114">
        <v>248</v>
      </c>
      <c r="AE114">
        <v>182</v>
      </c>
      <c r="AF114">
        <v>4</v>
      </c>
      <c r="AG114">
        <v>22</v>
      </c>
      <c r="AH114">
        <v>198</v>
      </c>
      <c r="AI114">
        <v>163</v>
      </c>
      <c r="AJ114">
        <v>244</v>
      </c>
      <c r="AK114">
        <v>87</v>
      </c>
      <c r="AL114">
        <v>85</v>
      </c>
    </row>
    <row r="115" spans="6:38" x14ac:dyDescent="0.25">
      <c r="F115" s="36">
        <v>102</v>
      </c>
      <c r="G115">
        <v>179</v>
      </c>
      <c r="H115">
        <v>254</v>
      </c>
      <c r="I115">
        <v>76</v>
      </c>
      <c r="J115">
        <v>174</v>
      </c>
      <c r="K115">
        <v>240</v>
      </c>
      <c r="L115">
        <v>30</v>
      </c>
      <c r="M115">
        <v>238</v>
      </c>
      <c r="N115">
        <v>100</v>
      </c>
      <c r="O115">
        <v>111</v>
      </c>
      <c r="P115">
        <v>118</v>
      </c>
      <c r="Q115">
        <v>70</v>
      </c>
      <c r="R115">
        <v>89</v>
      </c>
      <c r="S115">
        <v>96</v>
      </c>
      <c r="T115">
        <v>218</v>
      </c>
      <c r="U115">
        <v>36</v>
      </c>
      <c r="V115">
        <v>133</v>
      </c>
      <c r="W115">
        <v>82</v>
      </c>
      <c r="X115">
        <v>147</v>
      </c>
      <c r="Y115">
        <v>242</v>
      </c>
      <c r="Z115">
        <v>49</v>
      </c>
      <c r="AA115">
        <v>165</v>
      </c>
      <c r="AB115">
        <v>43</v>
      </c>
      <c r="AC115">
        <v>91</v>
      </c>
      <c r="AD115">
        <v>156</v>
      </c>
      <c r="AE115">
        <v>46</v>
      </c>
      <c r="AF115">
        <v>207</v>
      </c>
      <c r="AG115">
        <v>209</v>
      </c>
      <c r="AH115">
        <v>2</v>
      </c>
      <c r="AI115">
        <v>19</v>
      </c>
      <c r="AJ115">
        <v>79</v>
      </c>
      <c r="AK115">
        <v>127</v>
      </c>
      <c r="AL115">
        <v>161</v>
      </c>
    </row>
    <row r="116" spans="6:38" x14ac:dyDescent="0.25">
      <c r="F116" s="36">
        <v>103</v>
      </c>
      <c r="G116">
        <v>218</v>
      </c>
      <c r="H116">
        <v>186</v>
      </c>
      <c r="I116">
        <v>133</v>
      </c>
      <c r="J116">
        <v>104</v>
      </c>
      <c r="K116">
        <v>106</v>
      </c>
      <c r="L116">
        <v>56</v>
      </c>
      <c r="M116">
        <v>77</v>
      </c>
      <c r="N116">
        <v>231</v>
      </c>
      <c r="O116">
        <v>42</v>
      </c>
      <c r="P116">
        <v>244</v>
      </c>
      <c r="Q116">
        <v>164</v>
      </c>
      <c r="R116">
        <v>68</v>
      </c>
      <c r="S116">
        <v>108</v>
      </c>
      <c r="T116">
        <v>69</v>
      </c>
      <c r="U116">
        <v>55</v>
      </c>
      <c r="V116">
        <v>45</v>
      </c>
      <c r="W116">
        <v>238</v>
      </c>
      <c r="X116">
        <v>76</v>
      </c>
      <c r="Y116">
        <v>100</v>
      </c>
      <c r="Z116">
        <v>174</v>
      </c>
      <c r="AA116">
        <v>124</v>
      </c>
      <c r="AB116">
        <v>118</v>
      </c>
      <c r="AC116">
        <v>90</v>
      </c>
      <c r="AD116">
        <v>89</v>
      </c>
      <c r="AE116">
        <v>17</v>
      </c>
      <c r="AF116">
        <v>247</v>
      </c>
      <c r="AG116">
        <v>15</v>
      </c>
      <c r="AH116">
        <v>28</v>
      </c>
      <c r="AI116">
        <v>104</v>
      </c>
      <c r="AJ116">
        <v>155</v>
      </c>
      <c r="AK116">
        <v>16</v>
      </c>
      <c r="AL116">
        <v>210</v>
      </c>
    </row>
    <row r="117" spans="6:38" x14ac:dyDescent="0.25">
      <c r="F117" s="36">
        <v>104</v>
      </c>
      <c r="G117">
        <v>97</v>
      </c>
      <c r="H117">
        <v>139</v>
      </c>
      <c r="I117">
        <v>183</v>
      </c>
      <c r="J117">
        <v>149</v>
      </c>
      <c r="K117">
        <v>100</v>
      </c>
      <c r="L117">
        <v>56</v>
      </c>
      <c r="M117">
        <v>246</v>
      </c>
      <c r="N117">
        <v>80</v>
      </c>
      <c r="O117">
        <v>77</v>
      </c>
      <c r="P117">
        <v>241</v>
      </c>
      <c r="Q117">
        <v>88</v>
      </c>
      <c r="R117">
        <v>72</v>
      </c>
      <c r="S117">
        <v>100</v>
      </c>
      <c r="T117">
        <v>169</v>
      </c>
      <c r="U117">
        <v>242</v>
      </c>
      <c r="V117">
        <v>228</v>
      </c>
      <c r="W117">
        <v>181</v>
      </c>
      <c r="X117">
        <v>29</v>
      </c>
      <c r="Y117">
        <v>10</v>
      </c>
      <c r="Z117">
        <v>247</v>
      </c>
      <c r="AA117">
        <v>29</v>
      </c>
      <c r="AB117">
        <v>144</v>
      </c>
      <c r="AC117">
        <v>245</v>
      </c>
      <c r="AD117">
        <v>108</v>
      </c>
      <c r="AE117">
        <v>191</v>
      </c>
      <c r="AF117">
        <v>79</v>
      </c>
      <c r="AG117">
        <v>253</v>
      </c>
      <c r="AH117">
        <v>186</v>
      </c>
      <c r="AI117">
        <v>168</v>
      </c>
      <c r="AJ117">
        <v>87</v>
      </c>
      <c r="AK117">
        <v>56</v>
      </c>
      <c r="AL117">
        <v>49</v>
      </c>
    </row>
    <row r="118" spans="6:38" x14ac:dyDescent="0.25">
      <c r="F118" s="36">
        <v>105</v>
      </c>
      <c r="G118">
        <v>84</v>
      </c>
      <c r="H118">
        <v>19</v>
      </c>
      <c r="I118">
        <v>121</v>
      </c>
      <c r="J118">
        <v>86</v>
      </c>
      <c r="K118">
        <v>12</v>
      </c>
      <c r="L118">
        <v>162</v>
      </c>
      <c r="M118">
        <v>110</v>
      </c>
      <c r="N118">
        <v>25</v>
      </c>
      <c r="O118">
        <v>225</v>
      </c>
      <c r="P118">
        <v>124</v>
      </c>
      <c r="Q118">
        <v>123</v>
      </c>
      <c r="R118">
        <v>63</v>
      </c>
      <c r="S118">
        <v>105</v>
      </c>
      <c r="T118">
        <v>224</v>
      </c>
      <c r="U118">
        <v>194</v>
      </c>
      <c r="V118">
        <v>190</v>
      </c>
      <c r="W118">
        <v>210</v>
      </c>
      <c r="X118">
        <v>72</v>
      </c>
      <c r="Y118">
        <v>35</v>
      </c>
      <c r="Z118">
        <v>190</v>
      </c>
      <c r="AA118">
        <v>241</v>
      </c>
      <c r="AB118">
        <v>19</v>
      </c>
      <c r="AC118">
        <v>79</v>
      </c>
      <c r="AD118">
        <v>87</v>
      </c>
      <c r="AE118">
        <v>134</v>
      </c>
      <c r="AF118">
        <v>179</v>
      </c>
      <c r="AG118">
        <v>201</v>
      </c>
      <c r="AH118">
        <v>118</v>
      </c>
      <c r="AI118">
        <v>11</v>
      </c>
      <c r="AJ118">
        <v>123</v>
      </c>
      <c r="AK118">
        <v>136</v>
      </c>
      <c r="AL118">
        <v>8</v>
      </c>
    </row>
    <row r="119" spans="6:38" x14ac:dyDescent="0.25">
      <c r="F119" s="36">
        <v>106</v>
      </c>
      <c r="G119">
        <v>237</v>
      </c>
      <c r="H119">
        <v>240</v>
      </c>
      <c r="I119">
        <v>133</v>
      </c>
      <c r="J119">
        <v>44</v>
      </c>
      <c r="K119">
        <v>153</v>
      </c>
      <c r="L119">
        <v>68</v>
      </c>
      <c r="M119">
        <v>169</v>
      </c>
      <c r="N119">
        <v>117</v>
      </c>
      <c r="O119">
        <v>167</v>
      </c>
      <c r="P119">
        <v>51</v>
      </c>
      <c r="Q119">
        <v>71</v>
      </c>
      <c r="R119">
        <v>188</v>
      </c>
      <c r="S119">
        <v>44</v>
      </c>
      <c r="T119">
        <v>165</v>
      </c>
      <c r="U119">
        <v>130</v>
      </c>
      <c r="V119">
        <v>254</v>
      </c>
      <c r="W119">
        <v>101</v>
      </c>
      <c r="X119">
        <v>179</v>
      </c>
      <c r="Y119">
        <v>104</v>
      </c>
      <c r="Z119">
        <v>212</v>
      </c>
      <c r="AA119">
        <v>164</v>
      </c>
      <c r="AB119">
        <v>214</v>
      </c>
      <c r="AC119">
        <v>226</v>
      </c>
      <c r="AD119">
        <v>220</v>
      </c>
      <c r="AE119">
        <v>199</v>
      </c>
      <c r="AF119">
        <v>220</v>
      </c>
      <c r="AG119">
        <v>29</v>
      </c>
      <c r="AH119">
        <v>123</v>
      </c>
      <c r="AI119">
        <v>61</v>
      </c>
      <c r="AJ119">
        <v>66</v>
      </c>
      <c r="AK119">
        <v>165</v>
      </c>
      <c r="AL119">
        <v>39</v>
      </c>
    </row>
    <row r="120" spans="6:38" x14ac:dyDescent="0.25">
      <c r="F120" s="36">
        <v>107</v>
      </c>
      <c r="G120">
        <v>47</v>
      </c>
      <c r="H120">
        <v>138</v>
      </c>
      <c r="I120">
        <v>95</v>
      </c>
      <c r="J120">
        <v>38</v>
      </c>
      <c r="K120">
        <v>118</v>
      </c>
      <c r="L120">
        <v>38</v>
      </c>
      <c r="M120">
        <v>116</v>
      </c>
      <c r="N120">
        <v>221</v>
      </c>
      <c r="O120">
        <v>54</v>
      </c>
      <c r="P120">
        <v>112</v>
      </c>
      <c r="Q120">
        <v>132</v>
      </c>
      <c r="R120">
        <v>118</v>
      </c>
      <c r="S120">
        <v>227</v>
      </c>
      <c r="T120">
        <v>94</v>
      </c>
      <c r="U120">
        <v>222</v>
      </c>
      <c r="V120">
        <v>113</v>
      </c>
      <c r="W120">
        <v>110</v>
      </c>
      <c r="X120">
        <v>57</v>
      </c>
      <c r="Y120">
        <v>255</v>
      </c>
      <c r="Z120">
        <v>135</v>
      </c>
      <c r="AA120">
        <v>121</v>
      </c>
      <c r="AB120">
        <v>46</v>
      </c>
      <c r="AC120">
        <v>151</v>
      </c>
      <c r="AD120">
        <v>193</v>
      </c>
      <c r="AE120">
        <v>69</v>
      </c>
      <c r="AF120">
        <v>112</v>
      </c>
      <c r="AG120">
        <v>203</v>
      </c>
      <c r="AH120">
        <v>149</v>
      </c>
      <c r="AI120">
        <v>186</v>
      </c>
      <c r="AJ120">
        <v>136</v>
      </c>
      <c r="AK120">
        <v>243</v>
      </c>
      <c r="AL120">
        <v>83</v>
      </c>
    </row>
    <row r="121" spans="6:38" x14ac:dyDescent="0.25">
      <c r="F121" s="36">
        <v>108</v>
      </c>
      <c r="G121">
        <v>80</v>
      </c>
      <c r="H121">
        <v>230</v>
      </c>
      <c r="I121">
        <v>188</v>
      </c>
      <c r="J121">
        <v>3</v>
      </c>
      <c r="K121">
        <v>239</v>
      </c>
      <c r="L121">
        <v>124</v>
      </c>
      <c r="M121">
        <v>16</v>
      </c>
      <c r="N121">
        <v>230</v>
      </c>
      <c r="O121">
        <v>181</v>
      </c>
      <c r="P121">
        <v>35</v>
      </c>
      <c r="Q121">
        <v>19</v>
      </c>
      <c r="R121">
        <v>92</v>
      </c>
      <c r="S121">
        <v>211</v>
      </c>
      <c r="T121">
        <v>46</v>
      </c>
      <c r="U121">
        <v>137</v>
      </c>
      <c r="V121">
        <v>27</v>
      </c>
      <c r="W121">
        <v>157</v>
      </c>
      <c r="X121">
        <v>232</v>
      </c>
      <c r="Y121">
        <v>226</v>
      </c>
      <c r="Z121">
        <v>121</v>
      </c>
      <c r="AA121">
        <v>129</v>
      </c>
      <c r="AB121">
        <v>1</v>
      </c>
      <c r="AC121">
        <v>100</v>
      </c>
      <c r="AD121">
        <v>14</v>
      </c>
      <c r="AE121">
        <v>148</v>
      </c>
      <c r="AF121">
        <v>168</v>
      </c>
      <c r="AG121">
        <v>228</v>
      </c>
      <c r="AH121">
        <v>235</v>
      </c>
      <c r="AI121">
        <v>69</v>
      </c>
      <c r="AJ121">
        <v>137</v>
      </c>
      <c r="AK121">
        <v>21</v>
      </c>
      <c r="AL121">
        <v>10</v>
      </c>
    </row>
    <row r="122" spans="6:38" x14ac:dyDescent="0.25">
      <c r="F122" s="36">
        <v>109</v>
      </c>
      <c r="G122">
        <v>248</v>
      </c>
      <c r="H122">
        <v>175</v>
      </c>
      <c r="I122">
        <v>14</v>
      </c>
      <c r="J122">
        <v>67</v>
      </c>
      <c r="K122">
        <v>171</v>
      </c>
      <c r="L122">
        <v>102</v>
      </c>
      <c r="M122">
        <v>242</v>
      </c>
      <c r="N122">
        <v>248</v>
      </c>
      <c r="O122">
        <v>207</v>
      </c>
      <c r="P122">
        <v>16</v>
      </c>
      <c r="Q122">
        <v>166</v>
      </c>
      <c r="R122">
        <v>225</v>
      </c>
      <c r="S122">
        <v>67</v>
      </c>
      <c r="T122">
        <v>122</v>
      </c>
      <c r="U122">
        <v>146</v>
      </c>
      <c r="V122">
        <v>17</v>
      </c>
      <c r="W122">
        <v>56</v>
      </c>
      <c r="X122">
        <v>247</v>
      </c>
      <c r="Y122">
        <v>255</v>
      </c>
      <c r="Z122">
        <v>82</v>
      </c>
      <c r="AA122">
        <v>0</v>
      </c>
      <c r="AB122">
        <v>8</v>
      </c>
      <c r="AC122">
        <v>118</v>
      </c>
      <c r="AD122">
        <v>83</v>
      </c>
      <c r="AE122">
        <v>106</v>
      </c>
      <c r="AF122">
        <v>129</v>
      </c>
      <c r="AG122">
        <v>67</v>
      </c>
      <c r="AH122">
        <v>127</v>
      </c>
      <c r="AI122">
        <v>227</v>
      </c>
      <c r="AJ122">
        <v>142</v>
      </c>
      <c r="AK122">
        <v>10</v>
      </c>
      <c r="AL122">
        <v>107</v>
      </c>
    </row>
    <row r="123" spans="6:38" x14ac:dyDescent="0.25">
      <c r="F123" s="36">
        <v>110</v>
      </c>
      <c r="G123">
        <v>207</v>
      </c>
      <c r="H123">
        <v>64</v>
      </c>
      <c r="I123">
        <v>216</v>
      </c>
      <c r="J123">
        <v>19</v>
      </c>
      <c r="K123">
        <v>189</v>
      </c>
      <c r="L123">
        <v>55</v>
      </c>
      <c r="M123">
        <v>1</v>
      </c>
      <c r="N123">
        <v>147</v>
      </c>
      <c r="O123">
        <v>239</v>
      </c>
      <c r="P123">
        <v>103</v>
      </c>
      <c r="Q123">
        <v>43</v>
      </c>
      <c r="R123">
        <v>101</v>
      </c>
      <c r="S123">
        <v>195</v>
      </c>
      <c r="T123">
        <v>176</v>
      </c>
      <c r="U123">
        <v>26</v>
      </c>
      <c r="V123">
        <v>186</v>
      </c>
      <c r="W123">
        <v>95</v>
      </c>
      <c r="X123">
        <v>70</v>
      </c>
      <c r="Y123">
        <v>18</v>
      </c>
      <c r="Z123">
        <v>50</v>
      </c>
      <c r="AA123">
        <v>43</v>
      </c>
      <c r="AB123">
        <v>77</v>
      </c>
      <c r="AC123">
        <v>199</v>
      </c>
      <c r="AD123">
        <v>129</v>
      </c>
      <c r="AE123">
        <v>150</v>
      </c>
      <c r="AF123">
        <v>226</v>
      </c>
      <c r="AG123">
        <v>87</v>
      </c>
      <c r="AH123">
        <v>146</v>
      </c>
      <c r="AI123">
        <v>144</v>
      </c>
      <c r="AJ123">
        <v>228</v>
      </c>
      <c r="AK123">
        <v>25</v>
      </c>
      <c r="AL123">
        <v>37</v>
      </c>
    </row>
    <row r="124" spans="6:38" x14ac:dyDescent="0.25">
      <c r="F124" s="36">
        <v>111</v>
      </c>
      <c r="G124">
        <v>74</v>
      </c>
      <c r="H124">
        <v>35</v>
      </c>
      <c r="I124">
        <v>34</v>
      </c>
      <c r="J124">
        <v>26</v>
      </c>
      <c r="K124">
        <v>109</v>
      </c>
      <c r="L124">
        <v>140</v>
      </c>
      <c r="M124">
        <v>244</v>
      </c>
      <c r="N124">
        <v>251</v>
      </c>
      <c r="O124">
        <v>81</v>
      </c>
      <c r="P124">
        <v>208</v>
      </c>
      <c r="Q124">
        <v>82</v>
      </c>
      <c r="R124">
        <v>45</v>
      </c>
      <c r="S124">
        <v>101</v>
      </c>
      <c r="T124">
        <v>113</v>
      </c>
      <c r="U124">
        <v>223</v>
      </c>
      <c r="V124">
        <v>1</v>
      </c>
      <c r="W124">
        <v>41</v>
      </c>
      <c r="X124">
        <v>70</v>
      </c>
      <c r="Y124">
        <v>33</v>
      </c>
      <c r="Z124">
        <v>215</v>
      </c>
      <c r="AA124">
        <v>179</v>
      </c>
      <c r="AB124">
        <v>247</v>
      </c>
      <c r="AC124">
        <v>31</v>
      </c>
      <c r="AD124">
        <v>78</v>
      </c>
      <c r="AE124">
        <v>53</v>
      </c>
      <c r="AF124">
        <v>128</v>
      </c>
      <c r="AG124">
        <v>131</v>
      </c>
      <c r="AH124">
        <v>155</v>
      </c>
      <c r="AI124">
        <v>224</v>
      </c>
      <c r="AJ124">
        <v>175</v>
      </c>
      <c r="AK124">
        <v>28</v>
      </c>
      <c r="AL124">
        <v>16</v>
      </c>
    </row>
    <row r="125" spans="6:38" x14ac:dyDescent="0.25">
      <c r="F125" s="36">
        <v>112</v>
      </c>
      <c r="G125">
        <v>3</v>
      </c>
      <c r="H125">
        <v>163</v>
      </c>
      <c r="I125">
        <v>218</v>
      </c>
      <c r="J125">
        <v>249</v>
      </c>
      <c r="K125">
        <v>80</v>
      </c>
      <c r="L125">
        <v>37</v>
      </c>
      <c r="M125">
        <v>43</v>
      </c>
      <c r="N125">
        <v>45</v>
      </c>
      <c r="O125">
        <v>25</v>
      </c>
      <c r="P125">
        <v>88</v>
      </c>
      <c r="Q125">
        <v>230</v>
      </c>
      <c r="R125">
        <v>184</v>
      </c>
      <c r="S125">
        <v>145</v>
      </c>
      <c r="T125">
        <v>255</v>
      </c>
      <c r="U125">
        <v>181</v>
      </c>
      <c r="V125">
        <v>255</v>
      </c>
      <c r="W125">
        <v>104</v>
      </c>
      <c r="X125">
        <v>229</v>
      </c>
      <c r="Y125">
        <v>177</v>
      </c>
      <c r="Z125">
        <v>34</v>
      </c>
      <c r="AA125">
        <v>12</v>
      </c>
      <c r="AB125">
        <v>219</v>
      </c>
      <c r="AC125">
        <v>87</v>
      </c>
      <c r="AD125">
        <v>13</v>
      </c>
      <c r="AE125">
        <v>84</v>
      </c>
      <c r="AF125">
        <v>77</v>
      </c>
      <c r="AG125">
        <v>234</v>
      </c>
      <c r="AH125">
        <v>139</v>
      </c>
      <c r="AI125">
        <v>86</v>
      </c>
      <c r="AJ125">
        <v>158</v>
      </c>
      <c r="AK125">
        <v>187</v>
      </c>
      <c r="AL125">
        <v>238</v>
      </c>
    </row>
    <row r="126" spans="6:38" x14ac:dyDescent="0.25">
      <c r="F126" s="36">
        <v>113</v>
      </c>
      <c r="G126">
        <v>179</v>
      </c>
      <c r="H126">
        <v>214</v>
      </c>
      <c r="I126">
        <v>191</v>
      </c>
      <c r="J126">
        <v>116</v>
      </c>
      <c r="K126">
        <v>222</v>
      </c>
      <c r="L126">
        <v>235</v>
      </c>
      <c r="M126">
        <v>110</v>
      </c>
      <c r="N126">
        <v>121</v>
      </c>
      <c r="O126">
        <v>113</v>
      </c>
      <c r="P126">
        <v>177</v>
      </c>
      <c r="Q126">
        <v>64</v>
      </c>
      <c r="R126">
        <v>90</v>
      </c>
      <c r="S126">
        <v>33</v>
      </c>
      <c r="T126">
        <v>192</v>
      </c>
      <c r="U126">
        <v>209</v>
      </c>
      <c r="V126">
        <v>212</v>
      </c>
      <c r="W126">
        <v>141</v>
      </c>
      <c r="X126">
        <v>176</v>
      </c>
      <c r="Y126">
        <v>197</v>
      </c>
      <c r="Z126">
        <v>86</v>
      </c>
      <c r="AA126">
        <v>186</v>
      </c>
      <c r="AB126">
        <v>155</v>
      </c>
      <c r="AC126">
        <v>249</v>
      </c>
      <c r="AD126">
        <v>81</v>
      </c>
      <c r="AE126">
        <v>48</v>
      </c>
      <c r="AF126">
        <v>73</v>
      </c>
      <c r="AG126">
        <v>138</v>
      </c>
      <c r="AH126">
        <v>175</v>
      </c>
      <c r="AI126">
        <v>23</v>
      </c>
      <c r="AJ126">
        <v>52</v>
      </c>
      <c r="AK126">
        <v>225</v>
      </c>
      <c r="AL126">
        <v>198</v>
      </c>
    </row>
    <row r="127" spans="6:38" x14ac:dyDescent="0.25">
      <c r="F127" s="36">
        <v>114</v>
      </c>
      <c r="G127">
        <v>74</v>
      </c>
      <c r="H127">
        <v>216</v>
      </c>
      <c r="I127">
        <v>44</v>
      </c>
      <c r="J127">
        <v>229</v>
      </c>
      <c r="K127">
        <v>129</v>
      </c>
      <c r="L127">
        <v>80</v>
      </c>
      <c r="M127">
        <v>98</v>
      </c>
      <c r="N127">
        <v>97</v>
      </c>
      <c r="O127">
        <v>81</v>
      </c>
      <c r="P127">
        <v>222</v>
      </c>
      <c r="Q127">
        <v>55</v>
      </c>
      <c r="R127">
        <v>209</v>
      </c>
      <c r="S127">
        <v>135</v>
      </c>
      <c r="T127">
        <v>164</v>
      </c>
      <c r="U127">
        <v>68</v>
      </c>
      <c r="V127">
        <v>100</v>
      </c>
      <c r="W127">
        <v>110</v>
      </c>
      <c r="X127">
        <v>255</v>
      </c>
      <c r="Y127">
        <v>19</v>
      </c>
      <c r="Z127">
        <v>91</v>
      </c>
      <c r="AA127">
        <v>63</v>
      </c>
      <c r="AB127">
        <v>224</v>
      </c>
      <c r="AC127">
        <v>147</v>
      </c>
      <c r="AD127">
        <v>245</v>
      </c>
      <c r="AE127">
        <v>132</v>
      </c>
      <c r="AF127">
        <v>120</v>
      </c>
      <c r="AG127">
        <v>128</v>
      </c>
      <c r="AH127">
        <v>77</v>
      </c>
      <c r="AI127">
        <v>40</v>
      </c>
      <c r="AJ127">
        <v>216</v>
      </c>
      <c r="AK127">
        <v>255</v>
      </c>
      <c r="AL127">
        <v>102</v>
      </c>
    </row>
    <row r="128" spans="6:38" x14ac:dyDescent="0.25">
      <c r="F128" s="36">
        <v>115</v>
      </c>
      <c r="G128">
        <v>252</v>
      </c>
      <c r="H128">
        <v>170</v>
      </c>
      <c r="I128">
        <v>15</v>
      </c>
      <c r="J128">
        <v>158</v>
      </c>
      <c r="K128">
        <v>194</v>
      </c>
      <c r="L128">
        <v>186</v>
      </c>
      <c r="M128">
        <v>200</v>
      </c>
      <c r="N128">
        <v>238</v>
      </c>
      <c r="O128">
        <v>251</v>
      </c>
      <c r="P128">
        <v>27</v>
      </c>
      <c r="Q128">
        <v>146</v>
      </c>
      <c r="R128">
        <v>110</v>
      </c>
      <c r="S128">
        <v>167</v>
      </c>
      <c r="T128">
        <v>241</v>
      </c>
      <c r="U128">
        <v>89</v>
      </c>
      <c r="V128">
        <v>9</v>
      </c>
      <c r="W128">
        <v>113</v>
      </c>
      <c r="X128">
        <v>64</v>
      </c>
      <c r="Y128">
        <v>203</v>
      </c>
      <c r="Z128">
        <v>219</v>
      </c>
      <c r="AA128">
        <v>113</v>
      </c>
      <c r="AB128">
        <v>248</v>
      </c>
      <c r="AC128">
        <v>6</v>
      </c>
      <c r="AD128">
        <v>184</v>
      </c>
      <c r="AE128">
        <v>45</v>
      </c>
      <c r="AF128">
        <v>197</v>
      </c>
      <c r="AG128">
        <v>150</v>
      </c>
      <c r="AH128">
        <v>232</v>
      </c>
      <c r="AI128">
        <v>36</v>
      </c>
      <c r="AJ128">
        <v>132</v>
      </c>
      <c r="AK128">
        <v>5</v>
      </c>
      <c r="AL128">
        <v>51</v>
      </c>
    </row>
    <row r="129" spans="6:38" x14ac:dyDescent="0.25">
      <c r="F129" s="36">
        <v>116</v>
      </c>
      <c r="G129">
        <v>37</v>
      </c>
      <c r="H129">
        <v>31</v>
      </c>
      <c r="I129">
        <v>35</v>
      </c>
      <c r="J129">
        <v>232</v>
      </c>
      <c r="K129">
        <v>159</v>
      </c>
      <c r="L129">
        <v>12</v>
      </c>
      <c r="M129">
        <v>37</v>
      </c>
      <c r="N129">
        <v>201</v>
      </c>
      <c r="O129">
        <v>14</v>
      </c>
      <c r="P129">
        <v>0</v>
      </c>
      <c r="Q129">
        <v>65</v>
      </c>
      <c r="R129">
        <v>128</v>
      </c>
      <c r="S129">
        <v>128</v>
      </c>
      <c r="T129">
        <v>80</v>
      </c>
      <c r="U129">
        <v>220</v>
      </c>
      <c r="V129">
        <v>0</v>
      </c>
      <c r="W129">
        <v>14</v>
      </c>
      <c r="X129">
        <v>86</v>
      </c>
      <c r="Y129">
        <v>186</v>
      </c>
      <c r="Z129">
        <v>162</v>
      </c>
      <c r="AA129">
        <v>39</v>
      </c>
      <c r="AB129">
        <v>90</v>
      </c>
      <c r="AC129">
        <v>191</v>
      </c>
      <c r="AD129">
        <v>194</v>
      </c>
      <c r="AE129">
        <v>196</v>
      </c>
      <c r="AF129">
        <v>233</v>
      </c>
      <c r="AG129">
        <v>168</v>
      </c>
      <c r="AH129">
        <v>43</v>
      </c>
      <c r="AI129">
        <v>253</v>
      </c>
      <c r="AJ129">
        <v>178</v>
      </c>
      <c r="AK129">
        <v>111</v>
      </c>
      <c r="AL129">
        <v>3</v>
      </c>
    </row>
    <row r="130" spans="6:38" x14ac:dyDescent="0.25">
      <c r="F130" s="36">
        <v>117</v>
      </c>
      <c r="G130">
        <v>186</v>
      </c>
      <c r="H130">
        <v>86</v>
      </c>
      <c r="I130">
        <v>18</v>
      </c>
      <c r="J130">
        <v>191</v>
      </c>
      <c r="K130">
        <v>99</v>
      </c>
      <c r="L130">
        <v>16</v>
      </c>
      <c r="M130">
        <v>83</v>
      </c>
      <c r="N130">
        <v>251</v>
      </c>
      <c r="O130">
        <v>29</v>
      </c>
      <c r="P130">
        <v>222</v>
      </c>
      <c r="Q130">
        <v>46</v>
      </c>
      <c r="R130">
        <v>197</v>
      </c>
      <c r="S130">
        <v>225</v>
      </c>
      <c r="T130">
        <v>215</v>
      </c>
      <c r="U130">
        <v>71</v>
      </c>
      <c r="V130">
        <v>241</v>
      </c>
      <c r="W130">
        <v>140</v>
      </c>
      <c r="X130">
        <v>61</v>
      </c>
      <c r="Y130">
        <v>137</v>
      </c>
      <c r="Z130">
        <v>113</v>
      </c>
      <c r="AA130">
        <v>194</v>
      </c>
      <c r="AB130">
        <v>30</v>
      </c>
      <c r="AC130">
        <v>181</v>
      </c>
      <c r="AD130">
        <v>190</v>
      </c>
      <c r="AE130">
        <v>177</v>
      </c>
      <c r="AF130">
        <v>241</v>
      </c>
      <c r="AG130">
        <v>194</v>
      </c>
      <c r="AH130">
        <v>186</v>
      </c>
      <c r="AI130">
        <v>117</v>
      </c>
      <c r="AJ130">
        <v>139</v>
      </c>
      <c r="AK130">
        <v>209</v>
      </c>
      <c r="AL130">
        <v>63</v>
      </c>
    </row>
    <row r="131" spans="6:38" x14ac:dyDescent="0.25">
      <c r="F131" s="36">
        <v>118</v>
      </c>
      <c r="G131">
        <v>10</v>
      </c>
      <c r="H131">
        <v>134</v>
      </c>
      <c r="I131">
        <v>153</v>
      </c>
      <c r="J131">
        <v>169</v>
      </c>
      <c r="K131">
        <v>77</v>
      </c>
      <c r="L131">
        <v>47</v>
      </c>
      <c r="M131">
        <v>138</v>
      </c>
      <c r="N131">
        <v>190</v>
      </c>
      <c r="O131">
        <v>169</v>
      </c>
      <c r="P131">
        <v>198</v>
      </c>
      <c r="Q131">
        <v>207</v>
      </c>
      <c r="R131">
        <v>84</v>
      </c>
      <c r="S131">
        <v>159</v>
      </c>
      <c r="T131">
        <v>96</v>
      </c>
      <c r="U131">
        <v>245</v>
      </c>
      <c r="V131">
        <v>186</v>
      </c>
      <c r="W131">
        <v>228</v>
      </c>
      <c r="X131">
        <v>106</v>
      </c>
      <c r="Y131">
        <v>195</v>
      </c>
      <c r="Z131">
        <v>136</v>
      </c>
      <c r="AA131">
        <v>151</v>
      </c>
      <c r="AB131">
        <v>211</v>
      </c>
      <c r="AC131">
        <v>113</v>
      </c>
      <c r="AD131">
        <v>39</v>
      </c>
      <c r="AE131">
        <v>166</v>
      </c>
      <c r="AF131">
        <v>237</v>
      </c>
      <c r="AG131">
        <v>181</v>
      </c>
      <c r="AH131">
        <v>253</v>
      </c>
      <c r="AI131">
        <v>128</v>
      </c>
      <c r="AJ131">
        <v>211</v>
      </c>
      <c r="AK131">
        <v>232</v>
      </c>
      <c r="AL131">
        <v>175</v>
      </c>
    </row>
    <row r="132" spans="6:38" x14ac:dyDescent="0.25">
      <c r="F132" s="36">
        <v>119</v>
      </c>
      <c r="G132">
        <v>155</v>
      </c>
      <c r="H132">
        <v>247</v>
      </c>
      <c r="I132">
        <v>73</v>
      </c>
      <c r="J132">
        <v>254</v>
      </c>
      <c r="K132">
        <v>251</v>
      </c>
      <c r="L132">
        <v>8</v>
      </c>
      <c r="M132">
        <v>12</v>
      </c>
      <c r="N132">
        <v>50</v>
      </c>
      <c r="O132">
        <v>123</v>
      </c>
      <c r="P132">
        <v>159</v>
      </c>
      <c r="Q132">
        <v>184</v>
      </c>
      <c r="R132">
        <v>65</v>
      </c>
      <c r="S132">
        <v>181</v>
      </c>
      <c r="T132">
        <v>245</v>
      </c>
      <c r="U132">
        <v>195</v>
      </c>
      <c r="V132">
        <v>31</v>
      </c>
      <c r="W132">
        <v>89</v>
      </c>
      <c r="X132">
        <v>66</v>
      </c>
      <c r="Y132">
        <v>100</v>
      </c>
      <c r="Z132">
        <v>146</v>
      </c>
      <c r="AA132">
        <v>148</v>
      </c>
      <c r="AB132">
        <v>113</v>
      </c>
      <c r="AC132">
        <v>12</v>
      </c>
      <c r="AD132">
        <v>118</v>
      </c>
      <c r="AE132">
        <v>163</v>
      </c>
      <c r="AF132">
        <v>43</v>
      </c>
      <c r="AG132">
        <v>179</v>
      </c>
      <c r="AH132">
        <v>75</v>
      </c>
      <c r="AI132">
        <v>15</v>
      </c>
      <c r="AJ132">
        <v>229</v>
      </c>
      <c r="AK132">
        <v>52</v>
      </c>
      <c r="AL132">
        <v>57</v>
      </c>
    </row>
    <row r="133" spans="6:38" x14ac:dyDescent="0.25">
      <c r="F133" s="36">
        <v>120</v>
      </c>
      <c r="G133">
        <v>48</v>
      </c>
      <c r="H133">
        <v>5</v>
      </c>
      <c r="I133">
        <v>88</v>
      </c>
      <c r="J133">
        <v>115</v>
      </c>
      <c r="K133">
        <v>165</v>
      </c>
      <c r="L133">
        <v>210</v>
      </c>
      <c r="M133">
        <v>42</v>
      </c>
      <c r="N133">
        <v>169</v>
      </c>
      <c r="O133">
        <v>84</v>
      </c>
      <c r="P133">
        <v>76</v>
      </c>
      <c r="Q133">
        <v>97</v>
      </c>
      <c r="R133">
        <v>132</v>
      </c>
      <c r="S133">
        <v>220</v>
      </c>
      <c r="T133">
        <v>86</v>
      </c>
      <c r="U133">
        <v>141</v>
      </c>
      <c r="V133">
        <v>70</v>
      </c>
      <c r="W133">
        <v>181</v>
      </c>
      <c r="X133">
        <v>94</v>
      </c>
      <c r="Y133">
        <v>154</v>
      </c>
      <c r="Z133">
        <v>160</v>
      </c>
      <c r="AA133">
        <v>62</v>
      </c>
      <c r="AB133">
        <v>231</v>
      </c>
      <c r="AC133">
        <v>126</v>
      </c>
      <c r="AD133">
        <v>228</v>
      </c>
      <c r="AE133">
        <v>76</v>
      </c>
      <c r="AF133">
        <v>137</v>
      </c>
      <c r="AG133">
        <v>83</v>
      </c>
      <c r="AH133">
        <v>116</v>
      </c>
      <c r="AI133">
        <v>192</v>
      </c>
      <c r="AJ133">
        <v>17</v>
      </c>
      <c r="AK133">
        <v>69</v>
      </c>
      <c r="AL133">
        <v>1</v>
      </c>
    </row>
    <row r="134" spans="6:38" x14ac:dyDescent="0.25">
      <c r="F134" s="36">
        <v>121</v>
      </c>
      <c r="G134">
        <v>245</v>
      </c>
      <c r="H134">
        <v>139</v>
      </c>
      <c r="I134">
        <v>63</v>
      </c>
      <c r="J134">
        <v>29</v>
      </c>
      <c r="K134">
        <v>16</v>
      </c>
      <c r="L134">
        <v>129</v>
      </c>
      <c r="M134">
        <v>122</v>
      </c>
      <c r="N134">
        <v>50</v>
      </c>
      <c r="O134">
        <v>202</v>
      </c>
      <c r="P134">
        <v>216</v>
      </c>
      <c r="Q134">
        <v>129</v>
      </c>
      <c r="R134">
        <v>198</v>
      </c>
      <c r="S134">
        <v>8</v>
      </c>
      <c r="T134">
        <v>8</v>
      </c>
      <c r="U134">
        <v>233</v>
      </c>
      <c r="V134">
        <v>210</v>
      </c>
      <c r="W134">
        <v>235</v>
      </c>
      <c r="X134">
        <v>165</v>
      </c>
      <c r="Y134">
        <v>23</v>
      </c>
      <c r="Z134">
        <v>111</v>
      </c>
      <c r="AA134">
        <v>251</v>
      </c>
      <c r="AB134">
        <v>211</v>
      </c>
      <c r="AC134">
        <v>33</v>
      </c>
      <c r="AD134">
        <v>214</v>
      </c>
      <c r="AE134">
        <v>251</v>
      </c>
      <c r="AF134">
        <v>0</v>
      </c>
      <c r="AG134">
        <v>18</v>
      </c>
      <c r="AH134">
        <v>83</v>
      </c>
      <c r="AI134">
        <v>156</v>
      </c>
      <c r="AJ134">
        <v>68</v>
      </c>
      <c r="AK134">
        <v>216</v>
      </c>
      <c r="AL134">
        <v>219</v>
      </c>
    </row>
    <row r="135" spans="6:38" x14ac:dyDescent="0.25">
      <c r="F135" s="36">
        <v>122</v>
      </c>
      <c r="G135">
        <v>34</v>
      </c>
      <c r="H135">
        <v>29</v>
      </c>
      <c r="I135">
        <v>229</v>
      </c>
      <c r="J135">
        <v>98</v>
      </c>
      <c r="K135">
        <v>224</v>
      </c>
      <c r="L135">
        <v>70</v>
      </c>
      <c r="M135">
        <v>165</v>
      </c>
      <c r="N135">
        <v>245</v>
      </c>
      <c r="O135">
        <v>50</v>
      </c>
      <c r="P135">
        <v>73</v>
      </c>
      <c r="Q135">
        <v>163</v>
      </c>
      <c r="R135">
        <v>140</v>
      </c>
      <c r="S135">
        <v>178</v>
      </c>
      <c r="T135">
        <v>107</v>
      </c>
      <c r="U135">
        <v>214</v>
      </c>
      <c r="V135">
        <v>49</v>
      </c>
      <c r="W135">
        <v>190</v>
      </c>
      <c r="X135">
        <v>254</v>
      </c>
      <c r="Y135">
        <v>20</v>
      </c>
      <c r="Z135">
        <v>79</v>
      </c>
      <c r="AA135">
        <v>241</v>
      </c>
      <c r="AB135">
        <v>225</v>
      </c>
      <c r="AC135">
        <v>24</v>
      </c>
      <c r="AD135">
        <v>164</v>
      </c>
      <c r="AE135">
        <v>157</v>
      </c>
      <c r="AF135">
        <v>221</v>
      </c>
      <c r="AG135">
        <v>77</v>
      </c>
      <c r="AH135">
        <v>163</v>
      </c>
      <c r="AI135">
        <v>116</v>
      </c>
      <c r="AJ135">
        <v>236</v>
      </c>
      <c r="AK135">
        <v>213</v>
      </c>
      <c r="AL135">
        <v>177</v>
      </c>
    </row>
    <row r="136" spans="6:38" x14ac:dyDescent="0.25">
      <c r="F136" s="36">
        <v>123</v>
      </c>
      <c r="G136">
        <v>216</v>
      </c>
      <c r="H136">
        <v>151</v>
      </c>
      <c r="I136">
        <v>206</v>
      </c>
      <c r="J136">
        <v>57</v>
      </c>
      <c r="K136">
        <v>42</v>
      </c>
      <c r="L136">
        <v>11</v>
      </c>
      <c r="M136">
        <v>127</v>
      </c>
      <c r="N136">
        <v>41</v>
      </c>
      <c r="O136">
        <v>27</v>
      </c>
      <c r="P136">
        <v>191</v>
      </c>
      <c r="Q136">
        <v>26</v>
      </c>
      <c r="R136">
        <v>253</v>
      </c>
      <c r="S136">
        <v>68</v>
      </c>
      <c r="T136">
        <v>136</v>
      </c>
      <c r="U136">
        <v>245</v>
      </c>
      <c r="V136">
        <v>82</v>
      </c>
      <c r="W136">
        <v>127</v>
      </c>
      <c r="X136">
        <v>122</v>
      </c>
      <c r="Y136">
        <v>12</v>
      </c>
      <c r="Z136">
        <v>116</v>
      </c>
      <c r="AA136">
        <v>200</v>
      </c>
      <c r="AB136">
        <v>136</v>
      </c>
      <c r="AC136">
        <v>63</v>
      </c>
      <c r="AD136">
        <v>230</v>
      </c>
      <c r="AE136">
        <v>226</v>
      </c>
      <c r="AF136">
        <v>230</v>
      </c>
      <c r="AG136">
        <v>140</v>
      </c>
      <c r="AH136">
        <v>72</v>
      </c>
      <c r="AI136">
        <v>5</v>
      </c>
      <c r="AJ136">
        <v>211</v>
      </c>
      <c r="AK136">
        <v>184</v>
      </c>
      <c r="AL136">
        <v>169</v>
      </c>
    </row>
    <row r="137" spans="6:38" x14ac:dyDescent="0.25">
      <c r="F137" s="36">
        <v>124</v>
      </c>
      <c r="G137">
        <v>36</v>
      </c>
      <c r="H137">
        <v>228</v>
      </c>
      <c r="I137">
        <v>112</v>
      </c>
      <c r="J137">
        <v>69</v>
      </c>
      <c r="K137">
        <v>148</v>
      </c>
      <c r="L137">
        <v>89</v>
      </c>
      <c r="M137">
        <v>85</v>
      </c>
      <c r="N137">
        <v>135</v>
      </c>
      <c r="O137">
        <v>178</v>
      </c>
      <c r="P137">
        <v>216</v>
      </c>
      <c r="Q137">
        <v>146</v>
      </c>
      <c r="R137">
        <v>113</v>
      </c>
      <c r="S137">
        <v>245</v>
      </c>
      <c r="T137">
        <v>11</v>
      </c>
      <c r="U137">
        <v>55</v>
      </c>
      <c r="V137">
        <v>145</v>
      </c>
      <c r="W137">
        <v>20</v>
      </c>
      <c r="X137">
        <v>218</v>
      </c>
      <c r="Y137">
        <v>225</v>
      </c>
      <c r="Z137">
        <v>47</v>
      </c>
      <c r="AA137">
        <v>0</v>
      </c>
      <c r="AB137">
        <v>246</v>
      </c>
      <c r="AC137">
        <v>165</v>
      </c>
      <c r="AD137">
        <v>8</v>
      </c>
      <c r="AE137">
        <v>119</v>
      </c>
      <c r="AF137">
        <v>3</v>
      </c>
      <c r="AG137">
        <v>219</v>
      </c>
      <c r="AH137">
        <v>162</v>
      </c>
      <c r="AI137">
        <v>76</v>
      </c>
      <c r="AJ137">
        <v>54</v>
      </c>
      <c r="AK137">
        <v>192</v>
      </c>
      <c r="AL137">
        <v>164</v>
      </c>
    </row>
    <row r="138" spans="6:38" x14ac:dyDescent="0.25">
      <c r="F138" s="36">
        <v>125</v>
      </c>
      <c r="G138">
        <v>166</v>
      </c>
      <c r="H138">
        <v>193</v>
      </c>
      <c r="I138">
        <v>183</v>
      </c>
      <c r="J138">
        <v>34</v>
      </c>
      <c r="K138">
        <v>83</v>
      </c>
      <c r="L138">
        <v>48</v>
      </c>
      <c r="M138">
        <v>219</v>
      </c>
      <c r="N138">
        <v>193</v>
      </c>
      <c r="O138">
        <v>212</v>
      </c>
      <c r="P138">
        <v>56</v>
      </c>
      <c r="Q138">
        <v>88</v>
      </c>
      <c r="R138">
        <v>64</v>
      </c>
      <c r="S138">
        <v>217</v>
      </c>
      <c r="T138">
        <v>148</v>
      </c>
      <c r="U138">
        <v>9</v>
      </c>
      <c r="V138">
        <v>38</v>
      </c>
      <c r="W138">
        <v>0</v>
      </c>
      <c r="X138">
        <v>239</v>
      </c>
      <c r="Y138">
        <v>154</v>
      </c>
      <c r="Z138">
        <v>255</v>
      </c>
      <c r="AA138">
        <v>113</v>
      </c>
      <c r="AB138">
        <v>192</v>
      </c>
      <c r="AC138">
        <v>140</v>
      </c>
      <c r="AD138">
        <v>243</v>
      </c>
      <c r="AE138">
        <v>239</v>
      </c>
      <c r="AF138">
        <v>65</v>
      </c>
      <c r="AG138">
        <v>203</v>
      </c>
      <c r="AH138">
        <v>142</v>
      </c>
      <c r="AI138">
        <v>153</v>
      </c>
      <c r="AJ138">
        <v>203</v>
      </c>
      <c r="AK138">
        <v>18</v>
      </c>
      <c r="AL138">
        <v>254</v>
      </c>
    </row>
    <row r="139" spans="6:38" x14ac:dyDescent="0.25">
      <c r="F139" s="36">
        <v>126</v>
      </c>
      <c r="G139">
        <v>77</v>
      </c>
      <c r="H139">
        <v>158</v>
      </c>
      <c r="I139">
        <v>159</v>
      </c>
      <c r="J139">
        <v>87</v>
      </c>
      <c r="K139">
        <v>156</v>
      </c>
      <c r="L139">
        <v>0</v>
      </c>
      <c r="M139">
        <v>99</v>
      </c>
      <c r="N139">
        <v>219</v>
      </c>
      <c r="O139">
        <v>70</v>
      </c>
      <c r="P139">
        <v>203</v>
      </c>
      <c r="Q139">
        <v>91</v>
      </c>
      <c r="R139">
        <v>97</v>
      </c>
      <c r="S139">
        <v>223</v>
      </c>
      <c r="T139">
        <v>17</v>
      </c>
      <c r="U139">
        <v>228</v>
      </c>
      <c r="V139">
        <v>49</v>
      </c>
      <c r="W139">
        <v>115</v>
      </c>
      <c r="X139">
        <v>243</v>
      </c>
      <c r="Y139">
        <v>16</v>
      </c>
      <c r="Z139">
        <v>119</v>
      </c>
      <c r="AA139">
        <v>53</v>
      </c>
      <c r="AB139">
        <v>118</v>
      </c>
      <c r="AC139">
        <v>250</v>
      </c>
      <c r="AD139">
        <v>168</v>
      </c>
      <c r="AE139">
        <v>194</v>
      </c>
      <c r="AF139">
        <v>161</v>
      </c>
      <c r="AG139">
        <v>98</v>
      </c>
      <c r="AH139">
        <v>220</v>
      </c>
      <c r="AI139">
        <v>198</v>
      </c>
      <c r="AJ139">
        <v>221</v>
      </c>
      <c r="AK139">
        <v>57</v>
      </c>
      <c r="AL139">
        <v>14</v>
      </c>
    </row>
    <row r="140" spans="6:38" x14ac:dyDescent="0.25">
      <c r="F140" s="36">
        <v>127</v>
      </c>
      <c r="G140">
        <v>109</v>
      </c>
      <c r="H140">
        <v>136</v>
      </c>
      <c r="I140">
        <v>94</v>
      </c>
      <c r="J140">
        <v>65</v>
      </c>
      <c r="K140">
        <v>79</v>
      </c>
      <c r="L140">
        <v>223</v>
      </c>
      <c r="M140">
        <v>240</v>
      </c>
      <c r="N140">
        <v>185</v>
      </c>
      <c r="O140">
        <v>233</v>
      </c>
      <c r="P140">
        <v>188</v>
      </c>
      <c r="Q140">
        <v>1</v>
      </c>
      <c r="R140">
        <v>101</v>
      </c>
      <c r="S140">
        <v>42</v>
      </c>
      <c r="T140">
        <v>98</v>
      </c>
      <c r="U140">
        <v>228</v>
      </c>
      <c r="V140">
        <v>108</v>
      </c>
      <c r="W140">
        <v>75</v>
      </c>
      <c r="X140">
        <v>195</v>
      </c>
      <c r="Y140">
        <v>60</v>
      </c>
      <c r="Z140">
        <v>58</v>
      </c>
      <c r="AA140">
        <v>253</v>
      </c>
      <c r="AB140">
        <v>171</v>
      </c>
      <c r="AC140">
        <v>177</v>
      </c>
      <c r="AD140">
        <v>249</v>
      </c>
      <c r="AE140">
        <v>179</v>
      </c>
      <c r="AF140">
        <v>199</v>
      </c>
      <c r="AG140">
        <v>23</v>
      </c>
      <c r="AH140">
        <v>24</v>
      </c>
      <c r="AI140">
        <v>217</v>
      </c>
      <c r="AJ140">
        <v>8</v>
      </c>
      <c r="AK140">
        <v>243</v>
      </c>
      <c r="AL140">
        <v>74</v>
      </c>
    </row>
    <row r="141" spans="6:38" x14ac:dyDescent="0.25">
      <c r="F141" s="36">
        <v>128</v>
      </c>
      <c r="G141">
        <v>127</v>
      </c>
      <c r="H141">
        <v>13</v>
      </c>
      <c r="I141">
        <v>42</v>
      </c>
      <c r="J141">
        <v>200</v>
      </c>
      <c r="K141">
        <v>186</v>
      </c>
      <c r="L141">
        <v>163</v>
      </c>
      <c r="M141">
        <v>184</v>
      </c>
      <c r="N141">
        <v>228</v>
      </c>
      <c r="O141">
        <v>198</v>
      </c>
      <c r="P141">
        <v>136</v>
      </c>
      <c r="Q141">
        <v>0</v>
      </c>
      <c r="R141">
        <v>124</v>
      </c>
      <c r="S141">
        <v>79</v>
      </c>
      <c r="T141">
        <v>4</v>
      </c>
      <c r="U141">
        <v>229</v>
      </c>
      <c r="V141">
        <v>46</v>
      </c>
      <c r="W141">
        <v>152</v>
      </c>
      <c r="X141">
        <v>54</v>
      </c>
      <c r="Y141">
        <v>58</v>
      </c>
      <c r="Z141">
        <v>0</v>
      </c>
      <c r="AA141">
        <v>169</v>
      </c>
      <c r="AB141">
        <v>13</v>
      </c>
      <c r="AC141">
        <v>159</v>
      </c>
      <c r="AD141">
        <v>143</v>
      </c>
      <c r="AE141">
        <v>76</v>
      </c>
      <c r="AF141">
        <v>78</v>
      </c>
      <c r="AG141">
        <v>91</v>
      </c>
      <c r="AH141">
        <v>39</v>
      </c>
      <c r="AI141">
        <v>115</v>
      </c>
      <c r="AJ141">
        <v>249</v>
      </c>
      <c r="AK141">
        <v>177</v>
      </c>
      <c r="AL141">
        <v>123</v>
      </c>
    </row>
    <row r="142" spans="6:38" x14ac:dyDescent="0.25">
      <c r="F142" s="36">
        <v>129</v>
      </c>
      <c r="G142">
        <v>187</v>
      </c>
      <c r="H142">
        <v>52</v>
      </c>
      <c r="I142">
        <v>162</v>
      </c>
      <c r="J142">
        <v>115</v>
      </c>
      <c r="K142">
        <v>200</v>
      </c>
      <c r="L142">
        <v>234</v>
      </c>
      <c r="M142">
        <v>28</v>
      </c>
      <c r="N142">
        <v>224</v>
      </c>
      <c r="O142">
        <v>226</v>
      </c>
      <c r="P142">
        <v>175</v>
      </c>
      <c r="Q142">
        <v>133</v>
      </c>
      <c r="R142">
        <v>14</v>
      </c>
      <c r="S142">
        <v>194</v>
      </c>
      <c r="T142">
        <v>254</v>
      </c>
      <c r="U142">
        <v>91</v>
      </c>
      <c r="V142">
        <v>177</v>
      </c>
      <c r="W142">
        <v>194</v>
      </c>
      <c r="X142">
        <v>1</v>
      </c>
      <c r="Y142">
        <v>48</v>
      </c>
      <c r="Z142">
        <v>180</v>
      </c>
      <c r="AA142">
        <v>145</v>
      </c>
      <c r="AB142">
        <v>196</v>
      </c>
      <c r="AC142">
        <v>79</v>
      </c>
      <c r="AD142">
        <v>205</v>
      </c>
      <c r="AE142">
        <v>202</v>
      </c>
      <c r="AF142">
        <v>47</v>
      </c>
      <c r="AG142">
        <v>29</v>
      </c>
      <c r="AH142">
        <v>209</v>
      </c>
      <c r="AI142">
        <v>17</v>
      </c>
      <c r="AJ142">
        <v>242</v>
      </c>
      <c r="AK142">
        <v>48</v>
      </c>
      <c r="AL142">
        <v>33</v>
      </c>
    </row>
    <row r="143" spans="6:38" x14ac:dyDescent="0.25">
      <c r="F143" s="36">
        <v>130</v>
      </c>
      <c r="G143">
        <v>230</v>
      </c>
      <c r="H143">
        <v>217</v>
      </c>
      <c r="I143">
        <v>255</v>
      </c>
      <c r="J143">
        <v>199</v>
      </c>
      <c r="K143">
        <v>88</v>
      </c>
      <c r="L143">
        <v>94</v>
      </c>
      <c r="M143">
        <v>246</v>
      </c>
      <c r="N143">
        <v>208</v>
      </c>
      <c r="O143">
        <v>4</v>
      </c>
      <c r="P143">
        <v>181</v>
      </c>
      <c r="Q143">
        <v>220</v>
      </c>
      <c r="R143">
        <v>60</v>
      </c>
      <c r="S143">
        <v>151</v>
      </c>
      <c r="T143">
        <v>48</v>
      </c>
      <c r="U143">
        <v>249</v>
      </c>
      <c r="V143">
        <v>217</v>
      </c>
      <c r="W143">
        <v>24</v>
      </c>
      <c r="X143">
        <v>88</v>
      </c>
      <c r="Y143">
        <v>179</v>
      </c>
      <c r="Z143">
        <v>4</v>
      </c>
      <c r="AA143">
        <v>30</v>
      </c>
      <c r="AB143">
        <v>55</v>
      </c>
      <c r="AC143">
        <v>132</v>
      </c>
      <c r="AD143">
        <v>243</v>
      </c>
      <c r="AE143">
        <v>7</v>
      </c>
      <c r="AF143">
        <v>148</v>
      </c>
      <c r="AG143">
        <v>90</v>
      </c>
      <c r="AH143">
        <v>109</v>
      </c>
      <c r="AI143">
        <v>159</v>
      </c>
      <c r="AJ143">
        <v>47</v>
      </c>
      <c r="AK143">
        <v>94</v>
      </c>
      <c r="AL143">
        <v>112</v>
      </c>
    </row>
    <row r="144" spans="6:38" x14ac:dyDescent="0.25">
      <c r="F144" s="36">
        <v>131</v>
      </c>
      <c r="G144">
        <v>150</v>
      </c>
      <c r="H144">
        <v>124</v>
      </c>
      <c r="I144">
        <v>186</v>
      </c>
      <c r="J144">
        <v>144</v>
      </c>
      <c r="K144">
        <v>53</v>
      </c>
      <c r="L144">
        <v>34</v>
      </c>
      <c r="M144">
        <v>68</v>
      </c>
      <c r="N144">
        <v>93</v>
      </c>
      <c r="O144">
        <v>112</v>
      </c>
      <c r="P144">
        <v>201</v>
      </c>
      <c r="Q144">
        <v>133</v>
      </c>
      <c r="R144">
        <v>112</v>
      </c>
      <c r="S144">
        <v>53</v>
      </c>
      <c r="T144">
        <v>146</v>
      </c>
      <c r="U144">
        <v>58</v>
      </c>
      <c r="V144">
        <v>82</v>
      </c>
      <c r="W144">
        <v>143</v>
      </c>
      <c r="X144">
        <v>217</v>
      </c>
      <c r="Y144">
        <v>61</v>
      </c>
      <c r="Z144">
        <v>175</v>
      </c>
      <c r="AA144">
        <v>87</v>
      </c>
      <c r="AB144">
        <v>200</v>
      </c>
      <c r="AC144">
        <v>43</v>
      </c>
      <c r="AD144">
        <v>239</v>
      </c>
      <c r="AE144">
        <v>47</v>
      </c>
      <c r="AF144">
        <v>68</v>
      </c>
      <c r="AG144">
        <v>84</v>
      </c>
      <c r="AH144">
        <v>53</v>
      </c>
      <c r="AI144">
        <v>218</v>
      </c>
      <c r="AJ144">
        <v>185</v>
      </c>
      <c r="AK144">
        <v>78</v>
      </c>
      <c r="AL144">
        <v>191</v>
      </c>
    </row>
    <row r="145" spans="6:38" x14ac:dyDescent="0.25">
      <c r="F145" s="36">
        <v>132</v>
      </c>
      <c r="G145">
        <v>27</v>
      </c>
      <c r="H145">
        <v>147</v>
      </c>
      <c r="I145">
        <v>60</v>
      </c>
      <c r="J145">
        <v>102</v>
      </c>
      <c r="K145">
        <v>103</v>
      </c>
      <c r="L145">
        <v>83</v>
      </c>
      <c r="M145">
        <v>6</v>
      </c>
      <c r="N145">
        <v>35</v>
      </c>
      <c r="O145">
        <v>122</v>
      </c>
      <c r="P145">
        <v>189</v>
      </c>
      <c r="Q145">
        <v>167</v>
      </c>
      <c r="R145">
        <v>134</v>
      </c>
      <c r="S145">
        <v>107</v>
      </c>
      <c r="T145">
        <v>218</v>
      </c>
      <c r="U145">
        <v>137</v>
      </c>
      <c r="V145">
        <v>62</v>
      </c>
      <c r="W145">
        <v>105</v>
      </c>
      <c r="X145">
        <v>224</v>
      </c>
      <c r="Y145">
        <v>165</v>
      </c>
      <c r="Z145">
        <v>146</v>
      </c>
      <c r="AA145">
        <v>170</v>
      </c>
      <c r="AB145">
        <v>220</v>
      </c>
      <c r="AC145">
        <v>118</v>
      </c>
      <c r="AD145">
        <v>210</v>
      </c>
      <c r="AE145">
        <v>118</v>
      </c>
      <c r="AF145">
        <v>82</v>
      </c>
      <c r="AG145">
        <v>99</v>
      </c>
      <c r="AH145">
        <v>183</v>
      </c>
      <c r="AI145">
        <v>255</v>
      </c>
      <c r="AJ145">
        <v>118</v>
      </c>
      <c r="AK145">
        <v>249</v>
      </c>
      <c r="AL145">
        <v>232</v>
      </c>
    </row>
    <row r="146" spans="6:38" x14ac:dyDescent="0.25">
      <c r="F146" s="36">
        <v>133</v>
      </c>
      <c r="G146">
        <v>164</v>
      </c>
      <c r="H146">
        <v>44</v>
      </c>
      <c r="I146">
        <v>66</v>
      </c>
      <c r="J146">
        <v>207</v>
      </c>
      <c r="K146">
        <v>188</v>
      </c>
      <c r="L146">
        <v>166</v>
      </c>
      <c r="M146">
        <v>137</v>
      </c>
      <c r="N146">
        <v>212</v>
      </c>
      <c r="O146">
        <v>111</v>
      </c>
      <c r="P146">
        <v>37</v>
      </c>
      <c r="Q146">
        <v>137</v>
      </c>
      <c r="R146">
        <v>29</v>
      </c>
      <c r="S146">
        <v>4</v>
      </c>
      <c r="T146">
        <v>130</v>
      </c>
      <c r="U146">
        <v>48</v>
      </c>
      <c r="V146">
        <v>247</v>
      </c>
      <c r="W146">
        <v>214</v>
      </c>
      <c r="X146">
        <v>122</v>
      </c>
      <c r="Y146">
        <v>192</v>
      </c>
      <c r="Z146">
        <v>200</v>
      </c>
      <c r="AA146">
        <v>51</v>
      </c>
      <c r="AB146">
        <v>169</v>
      </c>
      <c r="AC146">
        <v>77</v>
      </c>
      <c r="AD146">
        <v>145</v>
      </c>
      <c r="AE146">
        <v>29</v>
      </c>
      <c r="AF146">
        <v>223</v>
      </c>
      <c r="AG146">
        <v>84</v>
      </c>
      <c r="AH146">
        <v>11</v>
      </c>
      <c r="AI146">
        <v>153</v>
      </c>
      <c r="AJ146">
        <v>77</v>
      </c>
      <c r="AK146">
        <v>80</v>
      </c>
      <c r="AL146">
        <v>111</v>
      </c>
    </row>
    <row r="147" spans="6:38" x14ac:dyDescent="0.25">
      <c r="F147" s="36">
        <v>134</v>
      </c>
      <c r="G147">
        <v>91</v>
      </c>
      <c r="H147">
        <v>107</v>
      </c>
      <c r="I147">
        <v>104</v>
      </c>
      <c r="J147">
        <v>50</v>
      </c>
      <c r="K147">
        <v>0</v>
      </c>
      <c r="L147">
        <v>109</v>
      </c>
      <c r="M147">
        <v>8</v>
      </c>
      <c r="N147">
        <v>218</v>
      </c>
      <c r="O147">
        <v>181</v>
      </c>
      <c r="P147">
        <v>136</v>
      </c>
      <c r="Q147">
        <v>212</v>
      </c>
      <c r="R147">
        <v>42</v>
      </c>
      <c r="S147">
        <v>185</v>
      </c>
      <c r="T147">
        <v>101</v>
      </c>
      <c r="U147">
        <v>102</v>
      </c>
      <c r="V147">
        <v>188</v>
      </c>
      <c r="W147">
        <v>252</v>
      </c>
      <c r="X147">
        <v>45</v>
      </c>
      <c r="Y147">
        <v>250</v>
      </c>
      <c r="Z147">
        <v>208</v>
      </c>
      <c r="AA147">
        <v>160</v>
      </c>
      <c r="AB147">
        <v>122</v>
      </c>
      <c r="AC147">
        <v>38</v>
      </c>
      <c r="AD147">
        <v>158</v>
      </c>
      <c r="AE147">
        <v>77</v>
      </c>
      <c r="AF147">
        <v>117</v>
      </c>
      <c r="AG147">
        <v>9</v>
      </c>
      <c r="AH147">
        <v>252</v>
      </c>
      <c r="AI147">
        <v>55</v>
      </c>
      <c r="AJ147">
        <v>8</v>
      </c>
      <c r="AK147">
        <v>12</v>
      </c>
      <c r="AL147">
        <v>228</v>
      </c>
    </row>
    <row r="148" spans="6:38" x14ac:dyDescent="0.25">
      <c r="F148" s="36">
        <v>135</v>
      </c>
      <c r="G148">
        <v>63</v>
      </c>
      <c r="H148">
        <v>244</v>
      </c>
      <c r="I148">
        <v>85</v>
      </c>
      <c r="J148">
        <v>202</v>
      </c>
      <c r="K148">
        <v>7</v>
      </c>
      <c r="L148">
        <v>160</v>
      </c>
      <c r="M148">
        <v>201</v>
      </c>
      <c r="N148">
        <v>233</v>
      </c>
      <c r="O148">
        <v>43</v>
      </c>
      <c r="P148">
        <v>171</v>
      </c>
      <c r="Q148">
        <v>15</v>
      </c>
      <c r="R148">
        <v>21</v>
      </c>
      <c r="S148">
        <v>221</v>
      </c>
      <c r="T148">
        <v>231</v>
      </c>
      <c r="U148">
        <v>61</v>
      </c>
      <c r="V148">
        <v>177</v>
      </c>
      <c r="W148">
        <v>121</v>
      </c>
      <c r="X148">
        <v>250</v>
      </c>
      <c r="Y148">
        <v>253</v>
      </c>
      <c r="Z148">
        <v>123</v>
      </c>
      <c r="AA148">
        <v>79</v>
      </c>
      <c r="AB148">
        <v>53</v>
      </c>
      <c r="AC148">
        <v>57</v>
      </c>
      <c r="AD148">
        <v>156</v>
      </c>
      <c r="AE148">
        <v>112</v>
      </c>
      <c r="AF148">
        <v>208</v>
      </c>
      <c r="AG148">
        <v>214</v>
      </c>
      <c r="AH148">
        <v>182</v>
      </c>
      <c r="AI148">
        <v>146</v>
      </c>
      <c r="AJ148">
        <v>223</v>
      </c>
      <c r="AK148">
        <v>244</v>
      </c>
      <c r="AL148">
        <v>122</v>
      </c>
    </row>
    <row r="149" spans="6:38" x14ac:dyDescent="0.25">
      <c r="F149" s="36">
        <v>136</v>
      </c>
      <c r="G149">
        <v>229</v>
      </c>
      <c r="H149">
        <v>144</v>
      </c>
      <c r="I149">
        <v>190</v>
      </c>
      <c r="J149">
        <v>242</v>
      </c>
      <c r="K149">
        <v>1</v>
      </c>
      <c r="L149">
        <v>70</v>
      </c>
      <c r="M149">
        <v>78</v>
      </c>
      <c r="N149">
        <v>153</v>
      </c>
      <c r="O149">
        <v>140</v>
      </c>
      <c r="P149">
        <v>89</v>
      </c>
      <c r="Q149">
        <v>100</v>
      </c>
      <c r="R149">
        <v>245</v>
      </c>
      <c r="S149">
        <v>207</v>
      </c>
      <c r="T149">
        <v>161</v>
      </c>
      <c r="U149">
        <v>80</v>
      </c>
      <c r="V149">
        <v>39</v>
      </c>
      <c r="W149">
        <v>243</v>
      </c>
      <c r="X149">
        <v>3</v>
      </c>
      <c r="Y149">
        <v>92</v>
      </c>
      <c r="Z149">
        <v>227</v>
      </c>
      <c r="AA149">
        <v>139</v>
      </c>
      <c r="AB149">
        <v>146</v>
      </c>
      <c r="AC149">
        <v>159</v>
      </c>
      <c r="AD149">
        <v>180</v>
      </c>
      <c r="AE149">
        <v>86</v>
      </c>
      <c r="AF149">
        <v>94</v>
      </c>
      <c r="AG149">
        <v>37</v>
      </c>
      <c r="AH149">
        <v>119</v>
      </c>
      <c r="AI149">
        <v>222</v>
      </c>
      <c r="AJ149">
        <v>213</v>
      </c>
      <c r="AK149">
        <v>78</v>
      </c>
      <c r="AL149">
        <v>66</v>
      </c>
    </row>
    <row r="150" spans="6:38" x14ac:dyDescent="0.25">
      <c r="F150" s="36">
        <v>137</v>
      </c>
      <c r="G150">
        <v>98</v>
      </c>
      <c r="H150">
        <v>17</v>
      </c>
      <c r="I150">
        <v>123</v>
      </c>
      <c r="J150">
        <v>35</v>
      </c>
      <c r="K150">
        <v>167</v>
      </c>
      <c r="L150">
        <v>206</v>
      </c>
      <c r="M150">
        <v>7</v>
      </c>
      <c r="N150">
        <v>178</v>
      </c>
      <c r="O150">
        <v>72</v>
      </c>
      <c r="P150">
        <v>6</v>
      </c>
      <c r="Q150">
        <v>118</v>
      </c>
      <c r="R150">
        <v>169</v>
      </c>
      <c r="S150">
        <v>164</v>
      </c>
      <c r="T150">
        <v>184</v>
      </c>
      <c r="U150">
        <v>209</v>
      </c>
      <c r="V150">
        <v>173</v>
      </c>
      <c r="W150">
        <v>144</v>
      </c>
      <c r="X150">
        <v>64</v>
      </c>
      <c r="Y150">
        <v>247</v>
      </c>
      <c r="Z150">
        <v>107</v>
      </c>
      <c r="AA150">
        <v>19</v>
      </c>
      <c r="AB150">
        <v>195</v>
      </c>
      <c r="AC150">
        <v>187</v>
      </c>
      <c r="AD150">
        <v>83</v>
      </c>
      <c r="AE150">
        <v>60</v>
      </c>
      <c r="AF150">
        <v>227</v>
      </c>
      <c r="AG150">
        <v>234</v>
      </c>
      <c r="AH150">
        <v>130</v>
      </c>
      <c r="AI150">
        <v>219</v>
      </c>
      <c r="AJ150">
        <v>211</v>
      </c>
      <c r="AK150">
        <v>146</v>
      </c>
      <c r="AL150">
        <v>78</v>
      </c>
    </row>
    <row r="151" spans="6:38" x14ac:dyDescent="0.25">
      <c r="F151" s="36">
        <v>138</v>
      </c>
      <c r="G151">
        <v>90</v>
      </c>
      <c r="H151">
        <v>149</v>
      </c>
      <c r="I151">
        <v>73</v>
      </c>
      <c r="J151">
        <v>177</v>
      </c>
      <c r="K151">
        <v>163</v>
      </c>
      <c r="L151">
        <v>163</v>
      </c>
      <c r="M151">
        <v>219</v>
      </c>
      <c r="N151">
        <v>39</v>
      </c>
      <c r="O151">
        <v>202</v>
      </c>
      <c r="P151">
        <v>137</v>
      </c>
      <c r="Q151">
        <v>22</v>
      </c>
      <c r="R151">
        <v>119</v>
      </c>
      <c r="S151">
        <v>233</v>
      </c>
      <c r="T151">
        <v>251</v>
      </c>
      <c r="U151">
        <v>140</v>
      </c>
      <c r="V151">
        <v>186</v>
      </c>
      <c r="W151">
        <v>57</v>
      </c>
      <c r="X151">
        <v>10</v>
      </c>
      <c r="Y151">
        <v>33</v>
      </c>
      <c r="Z151">
        <v>251</v>
      </c>
      <c r="AA151">
        <v>148</v>
      </c>
      <c r="AB151">
        <v>169</v>
      </c>
      <c r="AC151">
        <v>241</v>
      </c>
      <c r="AD151">
        <v>71</v>
      </c>
      <c r="AE151">
        <v>254</v>
      </c>
      <c r="AF151">
        <v>62</v>
      </c>
      <c r="AG151">
        <v>174</v>
      </c>
      <c r="AH151">
        <v>79</v>
      </c>
      <c r="AI151">
        <v>123</v>
      </c>
      <c r="AJ151">
        <v>93</v>
      </c>
      <c r="AK151">
        <v>49</v>
      </c>
      <c r="AL151">
        <v>147</v>
      </c>
    </row>
    <row r="152" spans="6:38" x14ac:dyDescent="0.25">
      <c r="F152" s="36">
        <v>139</v>
      </c>
      <c r="G152">
        <v>78</v>
      </c>
      <c r="H152">
        <v>104</v>
      </c>
      <c r="I152">
        <v>213</v>
      </c>
      <c r="J152">
        <v>116</v>
      </c>
      <c r="K152">
        <v>222</v>
      </c>
      <c r="L152">
        <v>138</v>
      </c>
      <c r="M152">
        <v>254</v>
      </c>
      <c r="N152">
        <v>171</v>
      </c>
      <c r="O152">
        <v>106</v>
      </c>
      <c r="P152">
        <v>93</v>
      </c>
      <c r="Q152">
        <v>14</v>
      </c>
      <c r="R152">
        <v>56</v>
      </c>
      <c r="S152">
        <v>136</v>
      </c>
      <c r="T152">
        <v>0</v>
      </c>
      <c r="U152">
        <v>23</v>
      </c>
      <c r="V152">
        <v>42</v>
      </c>
      <c r="W152">
        <v>39</v>
      </c>
      <c r="X152">
        <v>173</v>
      </c>
      <c r="Y152">
        <v>44</v>
      </c>
      <c r="Z152">
        <v>181</v>
      </c>
      <c r="AA152">
        <v>32</v>
      </c>
      <c r="AB152">
        <v>207</v>
      </c>
      <c r="AC152">
        <v>142</v>
      </c>
      <c r="AD152">
        <v>105</v>
      </c>
      <c r="AE152">
        <v>123</v>
      </c>
      <c r="AF152">
        <v>104</v>
      </c>
      <c r="AG152">
        <v>245</v>
      </c>
      <c r="AH152">
        <v>66</v>
      </c>
      <c r="AI152">
        <v>184</v>
      </c>
      <c r="AJ152">
        <v>26</v>
      </c>
      <c r="AK152">
        <v>128</v>
      </c>
      <c r="AL152">
        <v>124</v>
      </c>
    </row>
    <row r="153" spans="6:38" x14ac:dyDescent="0.25">
      <c r="F153" s="36">
        <v>140</v>
      </c>
      <c r="G153">
        <v>143</v>
      </c>
      <c r="H153">
        <v>154</v>
      </c>
      <c r="I153">
        <v>243</v>
      </c>
      <c r="J153">
        <v>46</v>
      </c>
      <c r="K153">
        <v>16</v>
      </c>
      <c r="L153">
        <v>137</v>
      </c>
      <c r="M153">
        <v>92</v>
      </c>
      <c r="N153">
        <v>200</v>
      </c>
      <c r="O153">
        <v>133</v>
      </c>
      <c r="P153">
        <v>85</v>
      </c>
      <c r="Q153">
        <v>52</v>
      </c>
      <c r="R153">
        <v>57</v>
      </c>
      <c r="S153">
        <v>165</v>
      </c>
      <c r="T153">
        <v>195</v>
      </c>
      <c r="U153">
        <v>120</v>
      </c>
      <c r="V153">
        <v>59</v>
      </c>
      <c r="W153">
        <v>206</v>
      </c>
      <c r="X153">
        <v>237</v>
      </c>
      <c r="Y153">
        <v>130</v>
      </c>
      <c r="Z153">
        <v>188</v>
      </c>
      <c r="AA153">
        <v>149</v>
      </c>
      <c r="AB153">
        <v>122</v>
      </c>
      <c r="AC153">
        <v>255</v>
      </c>
      <c r="AD153">
        <v>102</v>
      </c>
      <c r="AE153">
        <v>102</v>
      </c>
      <c r="AF153">
        <v>131</v>
      </c>
      <c r="AG153">
        <v>212</v>
      </c>
      <c r="AH153">
        <v>68</v>
      </c>
      <c r="AI153">
        <v>11</v>
      </c>
      <c r="AJ153">
        <v>168</v>
      </c>
      <c r="AK153">
        <v>13</v>
      </c>
      <c r="AL153">
        <v>202</v>
      </c>
    </row>
    <row r="154" spans="6:38" x14ac:dyDescent="0.25">
      <c r="F154" s="36">
        <v>141</v>
      </c>
      <c r="G154">
        <v>126</v>
      </c>
      <c r="H154">
        <v>137</v>
      </c>
      <c r="I154">
        <v>32</v>
      </c>
      <c r="J154">
        <v>48</v>
      </c>
      <c r="K154">
        <v>131</v>
      </c>
      <c r="L154">
        <v>127</v>
      </c>
      <c r="M154">
        <v>10</v>
      </c>
      <c r="N154">
        <v>110</v>
      </c>
      <c r="O154">
        <v>36</v>
      </c>
      <c r="P154">
        <v>52</v>
      </c>
      <c r="Q154">
        <v>165</v>
      </c>
      <c r="R154">
        <v>51</v>
      </c>
      <c r="S154">
        <v>170</v>
      </c>
      <c r="T154">
        <v>135</v>
      </c>
      <c r="U154">
        <v>105</v>
      </c>
      <c r="V154">
        <v>212</v>
      </c>
      <c r="W154">
        <v>254</v>
      </c>
      <c r="X154">
        <v>232</v>
      </c>
      <c r="Y154">
        <v>57</v>
      </c>
      <c r="Z154">
        <v>19</v>
      </c>
      <c r="AA154">
        <v>201</v>
      </c>
      <c r="AB154">
        <v>72</v>
      </c>
      <c r="AC154">
        <v>245</v>
      </c>
      <c r="AD154">
        <v>82</v>
      </c>
      <c r="AE154">
        <v>192</v>
      </c>
      <c r="AF154">
        <v>222</v>
      </c>
      <c r="AG154">
        <v>179</v>
      </c>
      <c r="AH154">
        <v>152</v>
      </c>
      <c r="AI154">
        <v>225</v>
      </c>
      <c r="AJ154">
        <v>185</v>
      </c>
      <c r="AK154">
        <v>62</v>
      </c>
      <c r="AL154">
        <v>9</v>
      </c>
    </row>
    <row r="155" spans="6:38" x14ac:dyDescent="0.25">
      <c r="F155" s="36">
        <v>142</v>
      </c>
      <c r="G155">
        <v>27</v>
      </c>
      <c r="H155">
        <v>141</v>
      </c>
      <c r="I155">
        <v>71</v>
      </c>
      <c r="J155">
        <v>246</v>
      </c>
      <c r="K155">
        <v>141</v>
      </c>
      <c r="L155">
        <v>161</v>
      </c>
      <c r="M155">
        <v>105</v>
      </c>
      <c r="N155">
        <v>54</v>
      </c>
      <c r="O155">
        <v>169</v>
      </c>
      <c r="P155">
        <v>249</v>
      </c>
      <c r="Q155">
        <v>182</v>
      </c>
      <c r="R155">
        <v>219</v>
      </c>
      <c r="S155">
        <v>156</v>
      </c>
      <c r="T155">
        <v>212</v>
      </c>
      <c r="U155">
        <v>158</v>
      </c>
      <c r="V155">
        <v>207</v>
      </c>
      <c r="W155">
        <v>28</v>
      </c>
      <c r="X155">
        <v>77</v>
      </c>
      <c r="Y155">
        <v>16</v>
      </c>
      <c r="Z155">
        <v>7</v>
      </c>
      <c r="AA155">
        <v>125</v>
      </c>
      <c r="AB155">
        <v>87</v>
      </c>
      <c r="AC155">
        <v>4</v>
      </c>
      <c r="AD155">
        <v>245</v>
      </c>
      <c r="AE155">
        <v>3</v>
      </c>
      <c r="AF155">
        <v>11</v>
      </c>
      <c r="AG155">
        <v>104</v>
      </c>
      <c r="AH155">
        <v>146</v>
      </c>
      <c r="AI155">
        <v>138</v>
      </c>
      <c r="AJ155">
        <v>192</v>
      </c>
      <c r="AK155">
        <v>143</v>
      </c>
      <c r="AL155">
        <v>172</v>
      </c>
    </row>
    <row r="156" spans="6:38" x14ac:dyDescent="0.25">
      <c r="F156" s="36">
        <v>143</v>
      </c>
      <c r="G156">
        <v>54</v>
      </c>
      <c r="H156">
        <v>86</v>
      </c>
      <c r="I156">
        <v>66</v>
      </c>
      <c r="J156">
        <v>180</v>
      </c>
      <c r="K156">
        <v>111</v>
      </c>
      <c r="L156">
        <v>239</v>
      </c>
      <c r="M156">
        <v>0</v>
      </c>
      <c r="N156">
        <v>186</v>
      </c>
      <c r="O156">
        <v>18</v>
      </c>
      <c r="P156">
        <v>1</v>
      </c>
      <c r="Q156">
        <v>174</v>
      </c>
      <c r="R156">
        <v>114</v>
      </c>
      <c r="S156">
        <v>50</v>
      </c>
      <c r="T156">
        <v>136</v>
      </c>
      <c r="U156">
        <v>109</v>
      </c>
      <c r="V156">
        <v>92</v>
      </c>
      <c r="W156">
        <v>170</v>
      </c>
      <c r="X156">
        <v>57</v>
      </c>
      <c r="Y156">
        <v>185</v>
      </c>
      <c r="Z156">
        <v>146</v>
      </c>
      <c r="AA156">
        <v>187</v>
      </c>
      <c r="AB156">
        <v>250</v>
      </c>
      <c r="AC156">
        <v>76</v>
      </c>
      <c r="AD156">
        <v>36</v>
      </c>
      <c r="AE156">
        <v>87</v>
      </c>
      <c r="AF156">
        <v>60</v>
      </c>
      <c r="AG156">
        <v>92</v>
      </c>
      <c r="AH156">
        <v>166</v>
      </c>
      <c r="AI156">
        <v>200</v>
      </c>
      <c r="AJ156">
        <v>95</v>
      </c>
      <c r="AK156">
        <v>89</v>
      </c>
      <c r="AL156">
        <v>30</v>
      </c>
    </row>
    <row r="157" spans="6:38" x14ac:dyDescent="0.25">
      <c r="F157" s="36">
        <v>144</v>
      </c>
      <c r="G157">
        <v>94</v>
      </c>
      <c r="H157">
        <v>21</v>
      </c>
      <c r="I157">
        <v>211</v>
      </c>
      <c r="J157">
        <v>6</v>
      </c>
      <c r="K157">
        <v>29</v>
      </c>
      <c r="L157">
        <v>191</v>
      </c>
      <c r="M157">
        <v>235</v>
      </c>
      <c r="N157">
        <v>124</v>
      </c>
      <c r="O157">
        <v>8</v>
      </c>
      <c r="P157">
        <v>199</v>
      </c>
      <c r="Q157">
        <v>105</v>
      </c>
      <c r="R157">
        <v>107</v>
      </c>
      <c r="S157">
        <v>33</v>
      </c>
      <c r="T157">
        <v>40</v>
      </c>
      <c r="U157">
        <v>107</v>
      </c>
      <c r="V157">
        <v>219</v>
      </c>
      <c r="W157">
        <v>194</v>
      </c>
      <c r="X157">
        <v>69</v>
      </c>
      <c r="Y157">
        <v>163</v>
      </c>
      <c r="Z157">
        <v>179</v>
      </c>
      <c r="AA157">
        <v>179</v>
      </c>
      <c r="AB157">
        <v>122</v>
      </c>
      <c r="AC157">
        <v>226</v>
      </c>
      <c r="AD157">
        <v>91</v>
      </c>
      <c r="AE157">
        <v>166</v>
      </c>
      <c r="AF157">
        <v>240</v>
      </c>
      <c r="AG157">
        <v>136</v>
      </c>
      <c r="AH157">
        <v>105</v>
      </c>
      <c r="AI157">
        <v>79</v>
      </c>
      <c r="AJ157">
        <v>203</v>
      </c>
      <c r="AK157">
        <v>225</v>
      </c>
      <c r="AL157">
        <v>144</v>
      </c>
    </row>
    <row r="158" spans="6:38" x14ac:dyDescent="0.25">
      <c r="F158" s="36">
        <v>145</v>
      </c>
      <c r="G158">
        <v>24</v>
      </c>
      <c r="H158">
        <v>166</v>
      </c>
      <c r="I158">
        <v>133</v>
      </c>
      <c r="J158">
        <v>204</v>
      </c>
      <c r="K158">
        <v>105</v>
      </c>
      <c r="L158">
        <v>164</v>
      </c>
      <c r="M158">
        <v>29</v>
      </c>
      <c r="N158">
        <v>59</v>
      </c>
      <c r="O158">
        <v>197</v>
      </c>
      <c r="P158">
        <v>9</v>
      </c>
      <c r="Q158">
        <v>134</v>
      </c>
      <c r="R158">
        <v>49</v>
      </c>
      <c r="S158">
        <v>195</v>
      </c>
      <c r="T158">
        <v>177</v>
      </c>
      <c r="U158">
        <v>30</v>
      </c>
      <c r="V158">
        <v>196</v>
      </c>
      <c r="W158">
        <v>173</v>
      </c>
      <c r="X158">
        <v>168</v>
      </c>
      <c r="Y158">
        <v>198</v>
      </c>
      <c r="Z158">
        <v>78</v>
      </c>
      <c r="AA158">
        <v>9</v>
      </c>
      <c r="AB158">
        <v>201</v>
      </c>
      <c r="AC158">
        <v>108</v>
      </c>
      <c r="AD158">
        <v>200</v>
      </c>
      <c r="AE158">
        <v>15</v>
      </c>
      <c r="AF158">
        <v>107</v>
      </c>
      <c r="AG158">
        <v>239</v>
      </c>
      <c r="AH158">
        <v>156</v>
      </c>
      <c r="AI158">
        <v>173</v>
      </c>
      <c r="AJ158">
        <v>163</v>
      </c>
      <c r="AK158">
        <v>63</v>
      </c>
      <c r="AL158">
        <v>241</v>
      </c>
    </row>
    <row r="159" spans="6:38" x14ac:dyDescent="0.25">
      <c r="F159" s="36">
        <v>146</v>
      </c>
      <c r="G159">
        <v>242</v>
      </c>
      <c r="H159">
        <v>39</v>
      </c>
      <c r="I159">
        <v>39</v>
      </c>
      <c r="J159">
        <v>143</v>
      </c>
      <c r="K159">
        <v>93</v>
      </c>
      <c r="L159">
        <v>126</v>
      </c>
      <c r="M159">
        <v>219</v>
      </c>
      <c r="N159">
        <v>242</v>
      </c>
      <c r="O159">
        <v>95</v>
      </c>
      <c r="P159">
        <v>126</v>
      </c>
      <c r="Q159">
        <v>116</v>
      </c>
      <c r="R159">
        <v>135</v>
      </c>
      <c r="S159">
        <v>162</v>
      </c>
      <c r="T159">
        <v>180</v>
      </c>
      <c r="U159">
        <v>193</v>
      </c>
      <c r="V159">
        <v>146</v>
      </c>
      <c r="W159">
        <v>253</v>
      </c>
      <c r="X159">
        <v>132</v>
      </c>
      <c r="Y159">
        <v>48</v>
      </c>
      <c r="Z159">
        <v>152</v>
      </c>
      <c r="AA159">
        <v>202</v>
      </c>
      <c r="AB159">
        <v>226</v>
      </c>
      <c r="AC159">
        <v>87</v>
      </c>
      <c r="AD159">
        <v>251</v>
      </c>
      <c r="AE159">
        <v>59</v>
      </c>
      <c r="AF159">
        <v>221</v>
      </c>
      <c r="AG159">
        <v>9</v>
      </c>
      <c r="AH159">
        <v>186</v>
      </c>
      <c r="AI159">
        <v>70</v>
      </c>
      <c r="AJ159">
        <v>175</v>
      </c>
      <c r="AK159">
        <v>50</v>
      </c>
      <c r="AL159">
        <v>32</v>
      </c>
    </row>
    <row r="160" spans="6:38" x14ac:dyDescent="0.25">
      <c r="F160" s="36">
        <v>147</v>
      </c>
      <c r="G160">
        <v>54</v>
      </c>
      <c r="H160">
        <v>69</v>
      </c>
      <c r="I160">
        <v>97</v>
      </c>
      <c r="J160">
        <v>208</v>
      </c>
      <c r="K160">
        <v>45</v>
      </c>
      <c r="L160">
        <v>170</v>
      </c>
      <c r="M160">
        <v>224</v>
      </c>
      <c r="N160">
        <v>135</v>
      </c>
      <c r="O160">
        <v>218</v>
      </c>
      <c r="P160">
        <v>193</v>
      </c>
      <c r="Q160">
        <v>218</v>
      </c>
      <c r="R160">
        <v>161</v>
      </c>
      <c r="S160">
        <v>34</v>
      </c>
      <c r="T160">
        <v>38</v>
      </c>
      <c r="U160">
        <v>29</v>
      </c>
      <c r="V160">
        <v>104</v>
      </c>
      <c r="W160">
        <v>147</v>
      </c>
      <c r="X160">
        <v>132</v>
      </c>
      <c r="Y160">
        <v>5</v>
      </c>
      <c r="Z160">
        <v>28</v>
      </c>
      <c r="AA160">
        <v>153</v>
      </c>
      <c r="AB160">
        <v>254</v>
      </c>
      <c r="AC160">
        <v>237</v>
      </c>
      <c r="AD160">
        <v>11</v>
      </c>
      <c r="AE160">
        <v>253</v>
      </c>
      <c r="AF160">
        <v>254</v>
      </c>
      <c r="AG160">
        <v>9</v>
      </c>
      <c r="AH160">
        <v>212</v>
      </c>
      <c r="AI160">
        <v>32</v>
      </c>
      <c r="AJ160">
        <v>185</v>
      </c>
      <c r="AK160">
        <v>193</v>
      </c>
      <c r="AL160">
        <v>144</v>
      </c>
    </row>
    <row r="161" spans="6:38" x14ac:dyDescent="0.25">
      <c r="F161" s="36">
        <v>148</v>
      </c>
      <c r="G161">
        <v>58</v>
      </c>
      <c r="H161">
        <v>136</v>
      </c>
      <c r="I161">
        <v>237</v>
      </c>
      <c r="J161">
        <v>92</v>
      </c>
      <c r="K161">
        <v>93</v>
      </c>
      <c r="L161">
        <v>217</v>
      </c>
      <c r="M161">
        <v>150</v>
      </c>
      <c r="N161">
        <v>252</v>
      </c>
      <c r="O161">
        <v>211</v>
      </c>
      <c r="P161">
        <v>103</v>
      </c>
      <c r="Q161">
        <v>77</v>
      </c>
      <c r="R161">
        <v>161</v>
      </c>
      <c r="S161">
        <v>220</v>
      </c>
      <c r="T161">
        <v>144</v>
      </c>
      <c r="U161">
        <v>224</v>
      </c>
      <c r="V161">
        <v>217</v>
      </c>
      <c r="W161">
        <v>219</v>
      </c>
      <c r="X161">
        <v>212</v>
      </c>
      <c r="Y161">
        <v>97</v>
      </c>
      <c r="Z161">
        <v>145</v>
      </c>
      <c r="AA161">
        <v>52</v>
      </c>
      <c r="AB161">
        <v>6</v>
      </c>
      <c r="AC161">
        <v>119</v>
      </c>
      <c r="AD161">
        <v>65</v>
      </c>
      <c r="AE161">
        <v>247</v>
      </c>
      <c r="AF161">
        <v>204</v>
      </c>
      <c r="AG161">
        <v>255</v>
      </c>
      <c r="AH161">
        <v>167</v>
      </c>
      <c r="AI161">
        <v>71</v>
      </c>
      <c r="AJ161">
        <v>245</v>
      </c>
      <c r="AK161">
        <v>180</v>
      </c>
      <c r="AL161">
        <v>226</v>
      </c>
    </row>
    <row r="162" spans="6:38" x14ac:dyDescent="0.25">
      <c r="F162" s="36">
        <v>149</v>
      </c>
      <c r="G162">
        <v>22</v>
      </c>
      <c r="H162">
        <v>253</v>
      </c>
      <c r="I162">
        <v>155</v>
      </c>
      <c r="J162">
        <v>117</v>
      </c>
      <c r="K162">
        <v>76</v>
      </c>
      <c r="L162">
        <v>70</v>
      </c>
      <c r="M162">
        <v>135</v>
      </c>
      <c r="N162">
        <v>134</v>
      </c>
      <c r="O162">
        <v>66</v>
      </c>
      <c r="P162">
        <v>2</v>
      </c>
      <c r="Q162">
        <v>155</v>
      </c>
      <c r="R162">
        <v>224</v>
      </c>
      <c r="S162">
        <v>118</v>
      </c>
      <c r="T162">
        <v>94</v>
      </c>
      <c r="U162">
        <v>77</v>
      </c>
      <c r="V162">
        <v>59</v>
      </c>
      <c r="W162">
        <v>119</v>
      </c>
      <c r="X162">
        <v>175</v>
      </c>
      <c r="Y162">
        <v>44</v>
      </c>
      <c r="Z162">
        <v>250</v>
      </c>
      <c r="AA162">
        <v>234</v>
      </c>
      <c r="AB162">
        <v>11</v>
      </c>
      <c r="AC162">
        <v>244</v>
      </c>
      <c r="AD162">
        <v>237</v>
      </c>
      <c r="AE162">
        <v>30</v>
      </c>
      <c r="AF162">
        <v>66</v>
      </c>
      <c r="AG162">
        <v>174</v>
      </c>
      <c r="AH162">
        <v>89</v>
      </c>
      <c r="AI162">
        <v>168</v>
      </c>
      <c r="AJ162">
        <v>83</v>
      </c>
      <c r="AK162">
        <v>118</v>
      </c>
      <c r="AL162">
        <v>123</v>
      </c>
    </row>
    <row r="163" spans="6:38" x14ac:dyDescent="0.25">
      <c r="F163" s="36">
        <v>150</v>
      </c>
      <c r="G163">
        <v>254</v>
      </c>
      <c r="H163">
        <v>42</v>
      </c>
      <c r="I163">
        <v>63</v>
      </c>
      <c r="J163">
        <v>212</v>
      </c>
      <c r="K163">
        <v>91</v>
      </c>
      <c r="L163">
        <v>55</v>
      </c>
      <c r="M163">
        <v>37</v>
      </c>
      <c r="N163">
        <v>167</v>
      </c>
      <c r="O163">
        <v>103</v>
      </c>
      <c r="P163">
        <v>166</v>
      </c>
      <c r="Q163">
        <v>68</v>
      </c>
      <c r="R163">
        <v>39</v>
      </c>
      <c r="S163">
        <v>202</v>
      </c>
      <c r="T163">
        <v>151</v>
      </c>
      <c r="U163">
        <v>231</v>
      </c>
      <c r="V163">
        <v>188</v>
      </c>
      <c r="W163">
        <v>237</v>
      </c>
      <c r="X163">
        <v>133</v>
      </c>
      <c r="Y163">
        <v>182</v>
      </c>
      <c r="Z163">
        <v>244</v>
      </c>
      <c r="AA163">
        <v>209</v>
      </c>
      <c r="AB163">
        <v>76</v>
      </c>
      <c r="AC163">
        <v>53</v>
      </c>
      <c r="AD163">
        <v>237</v>
      </c>
      <c r="AE163">
        <v>52</v>
      </c>
      <c r="AF163">
        <v>233</v>
      </c>
      <c r="AG163">
        <v>209</v>
      </c>
      <c r="AH163">
        <v>33</v>
      </c>
      <c r="AI163">
        <v>212</v>
      </c>
      <c r="AJ163">
        <v>201</v>
      </c>
      <c r="AK163">
        <v>22</v>
      </c>
      <c r="AL163">
        <v>194</v>
      </c>
    </row>
    <row r="164" spans="6:38" x14ac:dyDescent="0.25">
      <c r="F164" s="36">
        <v>151</v>
      </c>
      <c r="G164">
        <v>43</v>
      </c>
      <c r="H164">
        <v>240</v>
      </c>
      <c r="I164">
        <v>62</v>
      </c>
      <c r="J164">
        <v>124</v>
      </c>
      <c r="K164">
        <v>208</v>
      </c>
      <c r="L164">
        <v>167</v>
      </c>
      <c r="M164">
        <v>194</v>
      </c>
      <c r="N164">
        <v>218</v>
      </c>
      <c r="O164">
        <v>210</v>
      </c>
      <c r="P164">
        <v>138</v>
      </c>
      <c r="Q164">
        <v>246</v>
      </c>
      <c r="R164">
        <v>146</v>
      </c>
      <c r="S164">
        <v>245</v>
      </c>
      <c r="T164">
        <v>107</v>
      </c>
      <c r="U164">
        <v>24</v>
      </c>
      <c r="V164">
        <v>237</v>
      </c>
      <c r="W164">
        <v>232</v>
      </c>
      <c r="X164">
        <v>102</v>
      </c>
      <c r="Y164">
        <v>131</v>
      </c>
      <c r="Z164">
        <v>27</v>
      </c>
      <c r="AA164">
        <v>143</v>
      </c>
      <c r="AB164">
        <v>11</v>
      </c>
      <c r="AC164">
        <v>201</v>
      </c>
      <c r="AD164">
        <v>65</v>
      </c>
      <c r="AE164">
        <v>76</v>
      </c>
      <c r="AF164">
        <v>57</v>
      </c>
      <c r="AG164">
        <v>209</v>
      </c>
      <c r="AH164">
        <v>240</v>
      </c>
      <c r="AI164">
        <v>79</v>
      </c>
      <c r="AJ164">
        <v>38</v>
      </c>
      <c r="AK164">
        <v>18</v>
      </c>
      <c r="AL164">
        <v>172</v>
      </c>
    </row>
    <row r="165" spans="6:38" x14ac:dyDescent="0.25">
      <c r="F165" s="36">
        <v>152</v>
      </c>
      <c r="G165">
        <v>113</v>
      </c>
      <c r="H165">
        <v>197</v>
      </c>
      <c r="I165">
        <v>146</v>
      </c>
      <c r="J165">
        <v>89</v>
      </c>
      <c r="K165">
        <v>203</v>
      </c>
      <c r="L165">
        <v>113</v>
      </c>
      <c r="M165">
        <v>104</v>
      </c>
      <c r="N165">
        <v>126</v>
      </c>
      <c r="O165">
        <v>189</v>
      </c>
      <c r="P165">
        <v>151</v>
      </c>
      <c r="Q165">
        <v>85</v>
      </c>
      <c r="R165">
        <v>247</v>
      </c>
      <c r="S165">
        <v>29</v>
      </c>
      <c r="T165">
        <v>109</v>
      </c>
      <c r="U165">
        <v>99</v>
      </c>
      <c r="V165">
        <v>9</v>
      </c>
      <c r="W165">
        <v>36</v>
      </c>
      <c r="X165">
        <v>6</v>
      </c>
      <c r="Y165">
        <v>174</v>
      </c>
      <c r="Z165">
        <v>19</v>
      </c>
      <c r="AA165">
        <v>176</v>
      </c>
      <c r="AB165">
        <v>179</v>
      </c>
      <c r="AC165">
        <v>189</v>
      </c>
      <c r="AD165">
        <v>180</v>
      </c>
      <c r="AE165">
        <v>42</v>
      </c>
      <c r="AF165">
        <v>106</v>
      </c>
      <c r="AG165">
        <v>216</v>
      </c>
      <c r="AH165">
        <v>202</v>
      </c>
      <c r="AI165">
        <v>100</v>
      </c>
      <c r="AJ165">
        <v>2</v>
      </c>
      <c r="AK165">
        <v>189</v>
      </c>
      <c r="AL165">
        <v>201</v>
      </c>
    </row>
    <row r="166" spans="6:38" x14ac:dyDescent="0.25">
      <c r="F166" s="36">
        <v>153</v>
      </c>
      <c r="G166">
        <v>16</v>
      </c>
      <c r="H166">
        <v>102</v>
      </c>
      <c r="I166">
        <v>235</v>
      </c>
      <c r="J166">
        <v>31</v>
      </c>
      <c r="K166">
        <v>224</v>
      </c>
      <c r="L166">
        <v>190</v>
      </c>
      <c r="M166">
        <v>96</v>
      </c>
      <c r="N166">
        <v>107</v>
      </c>
      <c r="O166">
        <v>127</v>
      </c>
      <c r="P166">
        <v>197</v>
      </c>
      <c r="Q166">
        <v>57</v>
      </c>
      <c r="R166">
        <v>207</v>
      </c>
      <c r="S166">
        <v>132</v>
      </c>
      <c r="T166">
        <v>62</v>
      </c>
      <c r="U166">
        <v>81</v>
      </c>
      <c r="V166">
        <v>114</v>
      </c>
      <c r="W166">
        <v>252</v>
      </c>
      <c r="X166">
        <v>30</v>
      </c>
      <c r="Y166">
        <v>175</v>
      </c>
      <c r="Z166">
        <v>239</v>
      </c>
      <c r="AA166">
        <v>131</v>
      </c>
      <c r="AB166">
        <v>8</v>
      </c>
      <c r="AC166">
        <v>215</v>
      </c>
      <c r="AD166">
        <v>128</v>
      </c>
      <c r="AE166">
        <v>194</v>
      </c>
      <c r="AF166">
        <v>234</v>
      </c>
      <c r="AG166">
        <v>63</v>
      </c>
      <c r="AH166">
        <v>27</v>
      </c>
      <c r="AI166">
        <v>106</v>
      </c>
      <c r="AJ166">
        <v>21</v>
      </c>
      <c r="AK166">
        <v>135</v>
      </c>
      <c r="AL166">
        <v>43</v>
      </c>
    </row>
    <row r="167" spans="6:38" x14ac:dyDescent="0.25">
      <c r="F167" s="36">
        <v>154</v>
      </c>
      <c r="G167">
        <v>56</v>
      </c>
      <c r="H167">
        <v>169</v>
      </c>
      <c r="I167">
        <v>150</v>
      </c>
      <c r="J167">
        <v>218</v>
      </c>
      <c r="K167">
        <v>40</v>
      </c>
      <c r="L167">
        <v>87</v>
      </c>
      <c r="M167">
        <v>115</v>
      </c>
      <c r="N167">
        <v>170</v>
      </c>
      <c r="O167">
        <v>214</v>
      </c>
      <c r="P167">
        <v>169</v>
      </c>
      <c r="Q167">
        <v>123</v>
      </c>
      <c r="R167">
        <v>72</v>
      </c>
      <c r="S167">
        <v>211</v>
      </c>
      <c r="T167">
        <v>130</v>
      </c>
      <c r="U167">
        <v>116</v>
      </c>
      <c r="V167">
        <v>65</v>
      </c>
      <c r="W167">
        <v>33</v>
      </c>
      <c r="X167">
        <v>24</v>
      </c>
      <c r="Y167">
        <v>234</v>
      </c>
      <c r="Z167">
        <v>206</v>
      </c>
      <c r="AA167">
        <v>189</v>
      </c>
      <c r="AB167">
        <v>166</v>
      </c>
      <c r="AC167">
        <v>47</v>
      </c>
      <c r="AD167">
        <v>108</v>
      </c>
      <c r="AE167">
        <v>176</v>
      </c>
      <c r="AF167">
        <v>99</v>
      </c>
      <c r="AG167">
        <v>225</v>
      </c>
      <c r="AH167">
        <v>196</v>
      </c>
      <c r="AI167">
        <v>207</v>
      </c>
      <c r="AJ167">
        <v>210</v>
      </c>
      <c r="AK167">
        <v>174</v>
      </c>
      <c r="AL167">
        <v>213</v>
      </c>
    </row>
    <row r="168" spans="6:38" x14ac:dyDescent="0.25">
      <c r="F168" s="36">
        <v>155</v>
      </c>
      <c r="G168">
        <v>186</v>
      </c>
      <c r="H168">
        <v>40</v>
      </c>
      <c r="I168">
        <v>95</v>
      </c>
      <c r="J168">
        <v>45</v>
      </c>
      <c r="K168">
        <v>55</v>
      </c>
      <c r="L168">
        <v>59</v>
      </c>
      <c r="M168">
        <v>176</v>
      </c>
      <c r="N168">
        <v>190</v>
      </c>
      <c r="O168">
        <v>47</v>
      </c>
      <c r="P168">
        <v>207</v>
      </c>
      <c r="Q168">
        <v>207</v>
      </c>
      <c r="R168">
        <v>252</v>
      </c>
      <c r="S168">
        <v>139</v>
      </c>
      <c r="T168">
        <v>132</v>
      </c>
      <c r="U168">
        <v>195</v>
      </c>
      <c r="V168">
        <v>245</v>
      </c>
      <c r="W168">
        <v>94</v>
      </c>
      <c r="X168">
        <v>47</v>
      </c>
      <c r="Y168">
        <v>176</v>
      </c>
      <c r="Z168">
        <v>157</v>
      </c>
      <c r="AA168">
        <v>207</v>
      </c>
      <c r="AB168">
        <v>38</v>
      </c>
      <c r="AC168">
        <v>212</v>
      </c>
      <c r="AD168">
        <v>189</v>
      </c>
      <c r="AE168">
        <v>23</v>
      </c>
      <c r="AF168">
        <v>40</v>
      </c>
      <c r="AG168">
        <v>57</v>
      </c>
      <c r="AH168">
        <v>139</v>
      </c>
      <c r="AI168">
        <v>218</v>
      </c>
      <c r="AJ168">
        <v>84</v>
      </c>
      <c r="AK168">
        <v>6</v>
      </c>
      <c r="AL168">
        <v>67</v>
      </c>
    </row>
    <row r="169" spans="6:38" x14ac:dyDescent="0.25">
      <c r="F169" s="36">
        <v>156</v>
      </c>
      <c r="G169">
        <v>149</v>
      </c>
      <c r="H169">
        <v>34</v>
      </c>
      <c r="I169">
        <v>79</v>
      </c>
      <c r="J169">
        <v>120</v>
      </c>
      <c r="K169">
        <v>137</v>
      </c>
      <c r="L169">
        <v>0</v>
      </c>
      <c r="M169">
        <v>121</v>
      </c>
      <c r="N169">
        <v>139</v>
      </c>
      <c r="O169">
        <v>0</v>
      </c>
      <c r="P169">
        <v>238</v>
      </c>
      <c r="Q169">
        <v>65</v>
      </c>
      <c r="R169">
        <v>130</v>
      </c>
      <c r="S169">
        <v>138</v>
      </c>
      <c r="T169">
        <v>244</v>
      </c>
      <c r="U169">
        <v>175</v>
      </c>
      <c r="V169">
        <v>15</v>
      </c>
      <c r="W169">
        <v>156</v>
      </c>
      <c r="X169">
        <v>230</v>
      </c>
      <c r="Y169">
        <v>102</v>
      </c>
      <c r="Z169">
        <v>165</v>
      </c>
      <c r="AA169">
        <v>219</v>
      </c>
      <c r="AB169">
        <v>21</v>
      </c>
      <c r="AC169">
        <v>150</v>
      </c>
      <c r="AD169">
        <v>158</v>
      </c>
      <c r="AE169">
        <v>43</v>
      </c>
      <c r="AF169">
        <v>133</v>
      </c>
      <c r="AG169">
        <v>154</v>
      </c>
      <c r="AH169">
        <v>35</v>
      </c>
      <c r="AI169">
        <v>202</v>
      </c>
      <c r="AJ169">
        <v>185</v>
      </c>
      <c r="AK169">
        <v>218</v>
      </c>
      <c r="AL169">
        <v>31</v>
      </c>
    </row>
    <row r="170" spans="6:38" x14ac:dyDescent="0.25">
      <c r="F170" s="36">
        <v>157</v>
      </c>
      <c r="G170">
        <v>182</v>
      </c>
      <c r="H170">
        <v>165</v>
      </c>
      <c r="I170">
        <v>122</v>
      </c>
      <c r="J170">
        <v>224</v>
      </c>
      <c r="K170">
        <v>0</v>
      </c>
      <c r="L170">
        <v>85</v>
      </c>
      <c r="M170">
        <v>134</v>
      </c>
      <c r="N170">
        <v>255</v>
      </c>
      <c r="O170">
        <v>13</v>
      </c>
      <c r="P170">
        <v>159</v>
      </c>
      <c r="Q170">
        <v>27</v>
      </c>
      <c r="R170">
        <v>4</v>
      </c>
      <c r="S170">
        <v>164</v>
      </c>
      <c r="T170">
        <v>68</v>
      </c>
      <c r="U170">
        <v>180</v>
      </c>
      <c r="V170">
        <v>71</v>
      </c>
      <c r="W170">
        <v>63</v>
      </c>
      <c r="X170">
        <v>122</v>
      </c>
      <c r="Y170">
        <v>18</v>
      </c>
      <c r="Z170">
        <v>18</v>
      </c>
      <c r="AA170">
        <v>115</v>
      </c>
      <c r="AB170">
        <v>76</v>
      </c>
      <c r="AC170">
        <v>64</v>
      </c>
      <c r="AD170">
        <v>74</v>
      </c>
      <c r="AE170">
        <v>141</v>
      </c>
      <c r="AF170">
        <v>119</v>
      </c>
      <c r="AG170">
        <v>84</v>
      </c>
      <c r="AH170">
        <v>193</v>
      </c>
      <c r="AI170">
        <v>120</v>
      </c>
      <c r="AJ170">
        <v>24</v>
      </c>
      <c r="AK170">
        <v>243</v>
      </c>
      <c r="AL170">
        <v>0</v>
      </c>
    </row>
    <row r="171" spans="6:38" x14ac:dyDescent="0.25">
      <c r="F171" s="36">
        <v>158</v>
      </c>
      <c r="G171">
        <v>239</v>
      </c>
      <c r="H171">
        <v>14</v>
      </c>
      <c r="I171">
        <v>210</v>
      </c>
      <c r="J171">
        <v>34</v>
      </c>
      <c r="K171">
        <v>98</v>
      </c>
      <c r="L171">
        <v>122</v>
      </c>
      <c r="M171">
        <v>29</v>
      </c>
      <c r="N171">
        <v>194</v>
      </c>
      <c r="O171">
        <v>201</v>
      </c>
      <c r="P171">
        <v>172</v>
      </c>
      <c r="Q171">
        <v>22</v>
      </c>
      <c r="R171">
        <v>175</v>
      </c>
      <c r="S171">
        <v>127</v>
      </c>
      <c r="T171">
        <v>194</v>
      </c>
      <c r="U171">
        <v>28</v>
      </c>
      <c r="V171">
        <v>3</v>
      </c>
      <c r="W171">
        <v>108</v>
      </c>
      <c r="X171">
        <v>108</v>
      </c>
      <c r="Y171">
        <v>93</v>
      </c>
      <c r="Z171">
        <v>96</v>
      </c>
      <c r="AA171">
        <v>135</v>
      </c>
      <c r="AB171">
        <v>98</v>
      </c>
      <c r="AC171">
        <v>121</v>
      </c>
      <c r="AD171">
        <v>80</v>
      </c>
      <c r="AE171">
        <v>155</v>
      </c>
      <c r="AF171">
        <v>83</v>
      </c>
      <c r="AG171">
        <v>217</v>
      </c>
      <c r="AH171">
        <v>60</v>
      </c>
      <c r="AI171">
        <v>180</v>
      </c>
      <c r="AJ171">
        <v>166</v>
      </c>
      <c r="AK171">
        <v>239</v>
      </c>
      <c r="AL171">
        <v>13</v>
      </c>
    </row>
    <row r="172" spans="6:38" x14ac:dyDescent="0.25">
      <c r="F172" s="36">
        <v>159</v>
      </c>
      <c r="G172">
        <v>76</v>
      </c>
      <c r="H172">
        <v>210</v>
      </c>
      <c r="I172">
        <v>252</v>
      </c>
      <c r="J172">
        <v>148</v>
      </c>
      <c r="K172">
        <v>9</v>
      </c>
      <c r="L172">
        <v>249</v>
      </c>
      <c r="M172">
        <v>218</v>
      </c>
      <c r="N172">
        <v>133</v>
      </c>
      <c r="O172">
        <v>47</v>
      </c>
      <c r="P172">
        <v>178</v>
      </c>
      <c r="Q172">
        <v>100</v>
      </c>
      <c r="R172">
        <v>186</v>
      </c>
      <c r="S172">
        <v>204</v>
      </c>
      <c r="T172">
        <v>92</v>
      </c>
      <c r="U172">
        <v>92</v>
      </c>
      <c r="V172">
        <v>144</v>
      </c>
      <c r="W172">
        <v>81</v>
      </c>
      <c r="X172">
        <v>39</v>
      </c>
      <c r="Y172">
        <v>124</v>
      </c>
      <c r="Z172">
        <v>207</v>
      </c>
      <c r="AA172">
        <v>160</v>
      </c>
      <c r="AB172">
        <v>254</v>
      </c>
      <c r="AC172">
        <v>128</v>
      </c>
      <c r="AD172">
        <v>58</v>
      </c>
      <c r="AE172">
        <v>117</v>
      </c>
      <c r="AF172">
        <v>136</v>
      </c>
      <c r="AG172">
        <v>73</v>
      </c>
      <c r="AH172">
        <v>126</v>
      </c>
      <c r="AI172">
        <v>53</v>
      </c>
      <c r="AJ172">
        <v>187</v>
      </c>
      <c r="AK172">
        <v>84</v>
      </c>
      <c r="AL172">
        <v>224</v>
      </c>
    </row>
    <row r="173" spans="6:38" x14ac:dyDescent="0.25">
      <c r="F173" s="36">
        <v>160</v>
      </c>
      <c r="G173">
        <v>251</v>
      </c>
      <c r="H173">
        <v>101</v>
      </c>
      <c r="I173">
        <v>145</v>
      </c>
      <c r="J173">
        <v>84</v>
      </c>
      <c r="K173">
        <v>229</v>
      </c>
      <c r="L173">
        <v>6</v>
      </c>
      <c r="M173">
        <v>138</v>
      </c>
      <c r="N173">
        <v>81</v>
      </c>
      <c r="O173">
        <v>230</v>
      </c>
      <c r="P173">
        <v>109</v>
      </c>
      <c r="Q173">
        <v>209</v>
      </c>
      <c r="R173">
        <v>77</v>
      </c>
      <c r="S173">
        <v>72</v>
      </c>
      <c r="T173">
        <v>68</v>
      </c>
      <c r="U173">
        <v>1</v>
      </c>
      <c r="V173">
        <v>193</v>
      </c>
      <c r="W173">
        <v>86</v>
      </c>
      <c r="X173">
        <v>25</v>
      </c>
      <c r="Y173">
        <v>97</v>
      </c>
      <c r="Z173">
        <v>205</v>
      </c>
      <c r="AA173">
        <v>164</v>
      </c>
      <c r="AB173">
        <v>232</v>
      </c>
      <c r="AC173">
        <v>14</v>
      </c>
      <c r="AD173">
        <v>158</v>
      </c>
      <c r="AE173">
        <v>206</v>
      </c>
      <c r="AF173">
        <v>129</v>
      </c>
      <c r="AG173">
        <v>52</v>
      </c>
      <c r="AH173">
        <v>244</v>
      </c>
      <c r="AI173">
        <v>132</v>
      </c>
      <c r="AJ173">
        <v>235</v>
      </c>
      <c r="AK173">
        <v>232</v>
      </c>
      <c r="AL173">
        <v>222</v>
      </c>
    </row>
    <row r="174" spans="6:38" x14ac:dyDescent="0.25">
      <c r="F174" s="36">
        <v>161</v>
      </c>
      <c r="G174">
        <v>228</v>
      </c>
      <c r="H174">
        <v>146</v>
      </c>
      <c r="I174">
        <v>169</v>
      </c>
      <c r="J174">
        <v>197</v>
      </c>
      <c r="K174">
        <v>241</v>
      </c>
      <c r="L174">
        <v>171</v>
      </c>
      <c r="M174">
        <v>4</v>
      </c>
      <c r="N174">
        <v>122</v>
      </c>
      <c r="O174">
        <v>250</v>
      </c>
      <c r="P174">
        <v>108</v>
      </c>
      <c r="Q174">
        <v>49</v>
      </c>
      <c r="R174">
        <v>129</v>
      </c>
      <c r="S174">
        <v>220</v>
      </c>
      <c r="T174">
        <v>76</v>
      </c>
      <c r="U174">
        <v>168</v>
      </c>
      <c r="V174">
        <v>36</v>
      </c>
      <c r="W174">
        <v>15</v>
      </c>
      <c r="X174">
        <v>48</v>
      </c>
      <c r="Y174">
        <v>24</v>
      </c>
      <c r="Z174">
        <v>177</v>
      </c>
      <c r="AA174">
        <v>177</v>
      </c>
      <c r="AB174">
        <v>114</v>
      </c>
      <c r="AC174">
        <v>56</v>
      </c>
      <c r="AD174">
        <v>233</v>
      </c>
      <c r="AE174">
        <v>210</v>
      </c>
      <c r="AF174">
        <v>196</v>
      </c>
      <c r="AG174">
        <v>45</v>
      </c>
      <c r="AH174">
        <v>62</v>
      </c>
      <c r="AI174">
        <v>15</v>
      </c>
      <c r="AJ174">
        <v>181</v>
      </c>
      <c r="AK174">
        <v>21</v>
      </c>
      <c r="AL174">
        <v>241</v>
      </c>
    </row>
    <row r="175" spans="6:38" x14ac:dyDescent="0.25">
      <c r="F175" s="36">
        <v>162</v>
      </c>
      <c r="G175">
        <v>67</v>
      </c>
      <c r="H175">
        <v>9</v>
      </c>
      <c r="I175">
        <v>242</v>
      </c>
      <c r="J175">
        <v>108</v>
      </c>
      <c r="K175">
        <v>26</v>
      </c>
      <c r="L175">
        <v>53</v>
      </c>
      <c r="M175">
        <v>75</v>
      </c>
      <c r="N175">
        <v>142</v>
      </c>
      <c r="O175">
        <v>16</v>
      </c>
      <c r="P175">
        <v>173</v>
      </c>
      <c r="Q175">
        <v>51</v>
      </c>
      <c r="R175">
        <v>0</v>
      </c>
      <c r="S175">
        <v>158</v>
      </c>
      <c r="T175">
        <v>52</v>
      </c>
      <c r="U175">
        <v>130</v>
      </c>
      <c r="V175">
        <v>28</v>
      </c>
      <c r="W175">
        <v>58</v>
      </c>
      <c r="X175">
        <v>59</v>
      </c>
      <c r="Y175">
        <v>89</v>
      </c>
      <c r="Z175">
        <v>33</v>
      </c>
      <c r="AA175">
        <v>243</v>
      </c>
      <c r="AB175">
        <v>31</v>
      </c>
      <c r="AC175">
        <v>116</v>
      </c>
      <c r="AD175">
        <v>166</v>
      </c>
      <c r="AE175">
        <v>75</v>
      </c>
      <c r="AF175">
        <v>10</v>
      </c>
      <c r="AG175">
        <v>136</v>
      </c>
      <c r="AH175">
        <v>30</v>
      </c>
      <c r="AI175">
        <v>149</v>
      </c>
      <c r="AJ175">
        <v>28</v>
      </c>
      <c r="AK175">
        <v>29</v>
      </c>
      <c r="AL175">
        <v>221</v>
      </c>
    </row>
    <row r="176" spans="6:38" x14ac:dyDescent="0.25">
      <c r="F176" s="36">
        <v>163</v>
      </c>
      <c r="G176">
        <v>45</v>
      </c>
      <c r="H176">
        <v>170</v>
      </c>
      <c r="I176">
        <v>63</v>
      </c>
      <c r="J176">
        <v>165</v>
      </c>
      <c r="K176">
        <v>155</v>
      </c>
      <c r="L176">
        <v>24</v>
      </c>
      <c r="M176">
        <v>123</v>
      </c>
      <c r="N176">
        <v>44</v>
      </c>
      <c r="O176">
        <v>221</v>
      </c>
      <c r="P176">
        <v>114</v>
      </c>
      <c r="Q176">
        <v>50</v>
      </c>
      <c r="R176">
        <v>50</v>
      </c>
      <c r="S176">
        <v>218</v>
      </c>
      <c r="T176">
        <v>187</v>
      </c>
      <c r="U176">
        <v>59</v>
      </c>
      <c r="V176">
        <v>202</v>
      </c>
      <c r="W176">
        <v>108</v>
      </c>
      <c r="X176">
        <v>212</v>
      </c>
      <c r="Y176">
        <v>26</v>
      </c>
      <c r="Z176">
        <v>22</v>
      </c>
      <c r="AA176">
        <v>61</v>
      </c>
      <c r="AB176">
        <v>76</v>
      </c>
      <c r="AC176">
        <v>123</v>
      </c>
      <c r="AD176">
        <v>57</v>
      </c>
      <c r="AE176">
        <v>237</v>
      </c>
      <c r="AF176">
        <v>254</v>
      </c>
      <c r="AG176">
        <v>238</v>
      </c>
      <c r="AH176">
        <v>52</v>
      </c>
      <c r="AI176">
        <v>15</v>
      </c>
      <c r="AJ176">
        <v>73</v>
      </c>
      <c r="AK176">
        <v>164</v>
      </c>
      <c r="AL176">
        <v>100</v>
      </c>
    </row>
    <row r="177" spans="6:38" x14ac:dyDescent="0.25">
      <c r="F177" s="36">
        <v>164</v>
      </c>
      <c r="G177">
        <v>200</v>
      </c>
      <c r="H177">
        <v>211</v>
      </c>
      <c r="I177">
        <v>52</v>
      </c>
      <c r="J177">
        <v>181</v>
      </c>
      <c r="K177">
        <v>214</v>
      </c>
      <c r="L177">
        <v>219</v>
      </c>
      <c r="M177">
        <v>169</v>
      </c>
      <c r="N177">
        <v>2</v>
      </c>
      <c r="O177">
        <v>139</v>
      </c>
      <c r="P177">
        <v>244</v>
      </c>
      <c r="Q177">
        <v>111</v>
      </c>
      <c r="R177">
        <v>219</v>
      </c>
      <c r="S177">
        <v>129</v>
      </c>
      <c r="T177">
        <v>38</v>
      </c>
      <c r="U177">
        <v>75</v>
      </c>
      <c r="V177">
        <v>147</v>
      </c>
      <c r="W177">
        <v>157</v>
      </c>
      <c r="X177">
        <v>155</v>
      </c>
      <c r="Y177">
        <v>119</v>
      </c>
      <c r="Z177">
        <v>206</v>
      </c>
      <c r="AA177">
        <v>37</v>
      </c>
      <c r="AB177">
        <v>214</v>
      </c>
      <c r="AC177">
        <v>211</v>
      </c>
      <c r="AD177">
        <v>85</v>
      </c>
      <c r="AE177">
        <v>192</v>
      </c>
      <c r="AF177">
        <v>177</v>
      </c>
      <c r="AG177">
        <v>142</v>
      </c>
      <c r="AH177">
        <v>140</v>
      </c>
      <c r="AI177">
        <v>109</v>
      </c>
      <c r="AJ177">
        <v>172</v>
      </c>
      <c r="AK177">
        <v>231</v>
      </c>
      <c r="AL177">
        <v>114</v>
      </c>
    </row>
    <row r="178" spans="6:38" x14ac:dyDescent="0.25">
      <c r="F178" s="36">
        <v>165</v>
      </c>
      <c r="G178">
        <v>117</v>
      </c>
      <c r="H178">
        <v>31</v>
      </c>
      <c r="I178">
        <v>90</v>
      </c>
      <c r="J178">
        <v>52</v>
      </c>
      <c r="K178">
        <v>200</v>
      </c>
      <c r="L178">
        <v>88</v>
      </c>
      <c r="M178">
        <v>192</v>
      </c>
      <c r="N178">
        <v>148</v>
      </c>
      <c r="O178">
        <v>244</v>
      </c>
      <c r="P178">
        <v>109</v>
      </c>
      <c r="Q178">
        <v>174</v>
      </c>
      <c r="R178">
        <v>168</v>
      </c>
      <c r="S178">
        <v>80</v>
      </c>
      <c r="T178">
        <v>169</v>
      </c>
      <c r="U178">
        <v>79</v>
      </c>
      <c r="V178">
        <v>161</v>
      </c>
      <c r="W178">
        <v>186</v>
      </c>
      <c r="X178">
        <v>198</v>
      </c>
      <c r="Y178">
        <v>190</v>
      </c>
      <c r="Z178">
        <v>117</v>
      </c>
      <c r="AA178">
        <v>114</v>
      </c>
      <c r="AB178">
        <v>4</v>
      </c>
      <c r="AC178">
        <v>30</v>
      </c>
      <c r="AD178">
        <v>168</v>
      </c>
      <c r="AE178">
        <v>169</v>
      </c>
      <c r="AF178">
        <v>199</v>
      </c>
      <c r="AG178">
        <v>84</v>
      </c>
      <c r="AH178">
        <v>89</v>
      </c>
      <c r="AI178">
        <v>217</v>
      </c>
      <c r="AJ178">
        <v>206</v>
      </c>
      <c r="AK178">
        <v>156</v>
      </c>
      <c r="AL178">
        <v>215</v>
      </c>
    </row>
    <row r="179" spans="6:38" x14ac:dyDescent="0.25">
      <c r="F179" s="36">
        <v>166</v>
      </c>
      <c r="G179">
        <v>17</v>
      </c>
      <c r="H179">
        <v>242</v>
      </c>
      <c r="I179">
        <v>33</v>
      </c>
      <c r="J179">
        <v>240</v>
      </c>
      <c r="K179">
        <v>228</v>
      </c>
      <c r="L179">
        <v>56</v>
      </c>
      <c r="M179">
        <v>213</v>
      </c>
      <c r="N179">
        <v>160</v>
      </c>
      <c r="O179">
        <v>163</v>
      </c>
      <c r="P179">
        <v>210</v>
      </c>
      <c r="Q179">
        <v>139</v>
      </c>
      <c r="R179">
        <v>212</v>
      </c>
      <c r="S179">
        <v>13</v>
      </c>
      <c r="T179">
        <v>18</v>
      </c>
      <c r="U179">
        <v>26</v>
      </c>
      <c r="V179">
        <v>63</v>
      </c>
      <c r="W179">
        <v>127</v>
      </c>
      <c r="X179">
        <v>193</v>
      </c>
      <c r="Y179">
        <v>200</v>
      </c>
      <c r="Z179">
        <v>139</v>
      </c>
      <c r="AA179">
        <v>152</v>
      </c>
      <c r="AB179">
        <v>133</v>
      </c>
      <c r="AC179">
        <v>139</v>
      </c>
      <c r="AD179">
        <v>58</v>
      </c>
      <c r="AE179">
        <v>182</v>
      </c>
      <c r="AF179">
        <v>173</v>
      </c>
      <c r="AG179">
        <v>176</v>
      </c>
      <c r="AH179">
        <v>90</v>
      </c>
      <c r="AI179">
        <v>96</v>
      </c>
      <c r="AJ179">
        <v>213</v>
      </c>
      <c r="AK179">
        <v>191</v>
      </c>
      <c r="AL179">
        <v>120</v>
      </c>
    </row>
    <row r="180" spans="6:38" x14ac:dyDescent="0.25">
      <c r="F180" s="36">
        <v>167</v>
      </c>
      <c r="G180">
        <v>163</v>
      </c>
      <c r="H180">
        <v>72</v>
      </c>
      <c r="I180">
        <v>13</v>
      </c>
      <c r="J180">
        <v>158</v>
      </c>
      <c r="K180">
        <v>8</v>
      </c>
      <c r="L180">
        <v>213</v>
      </c>
      <c r="M180">
        <v>76</v>
      </c>
      <c r="N180">
        <v>241</v>
      </c>
      <c r="O180">
        <v>174</v>
      </c>
      <c r="P180">
        <v>72</v>
      </c>
      <c r="Q180">
        <v>46</v>
      </c>
      <c r="R180">
        <v>145</v>
      </c>
      <c r="S180">
        <v>186</v>
      </c>
      <c r="T180">
        <v>154</v>
      </c>
      <c r="U180">
        <v>241</v>
      </c>
      <c r="V180">
        <v>118</v>
      </c>
      <c r="W180">
        <v>106</v>
      </c>
      <c r="X180">
        <v>12</v>
      </c>
      <c r="Y180">
        <v>81</v>
      </c>
      <c r="Z180">
        <v>122</v>
      </c>
      <c r="AA180">
        <v>49</v>
      </c>
      <c r="AB180">
        <v>178</v>
      </c>
      <c r="AC180">
        <v>213</v>
      </c>
      <c r="AD180">
        <v>254</v>
      </c>
      <c r="AE180">
        <v>17</v>
      </c>
      <c r="AF180">
        <v>13</v>
      </c>
      <c r="AG180">
        <v>63</v>
      </c>
      <c r="AH180">
        <v>91</v>
      </c>
      <c r="AI180">
        <v>12</v>
      </c>
      <c r="AJ180">
        <v>76</v>
      </c>
      <c r="AK180">
        <v>182</v>
      </c>
      <c r="AL180">
        <v>49</v>
      </c>
    </row>
    <row r="181" spans="6:38" x14ac:dyDescent="0.25">
      <c r="F181" s="36">
        <v>168</v>
      </c>
      <c r="G181">
        <v>122</v>
      </c>
      <c r="H181">
        <v>179</v>
      </c>
      <c r="I181">
        <v>1</v>
      </c>
      <c r="J181">
        <v>51</v>
      </c>
      <c r="K181">
        <v>9</v>
      </c>
      <c r="L181">
        <v>244</v>
      </c>
      <c r="M181">
        <v>41</v>
      </c>
      <c r="N181">
        <v>148</v>
      </c>
      <c r="O181">
        <v>28</v>
      </c>
      <c r="P181">
        <v>172</v>
      </c>
      <c r="Q181">
        <v>139</v>
      </c>
      <c r="R181">
        <v>97</v>
      </c>
      <c r="S181">
        <v>12</v>
      </c>
      <c r="T181">
        <v>10</v>
      </c>
      <c r="U181">
        <v>208</v>
      </c>
      <c r="V181">
        <v>193</v>
      </c>
      <c r="W181">
        <v>75</v>
      </c>
      <c r="X181">
        <v>112</v>
      </c>
      <c r="Y181">
        <v>186</v>
      </c>
      <c r="Z181">
        <v>156</v>
      </c>
      <c r="AA181">
        <v>70</v>
      </c>
      <c r="AB181">
        <v>93</v>
      </c>
      <c r="AC181">
        <v>71</v>
      </c>
      <c r="AD181">
        <v>230</v>
      </c>
      <c r="AE181">
        <v>44</v>
      </c>
      <c r="AF181">
        <v>96</v>
      </c>
      <c r="AG181">
        <v>66</v>
      </c>
      <c r="AH181">
        <v>139</v>
      </c>
      <c r="AI181">
        <v>246</v>
      </c>
      <c r="AJ181">
        <v>26</v>
      </c>
      <c r="AK181">
        <v>206</v>
      </c>
      <c r="AL181">
        <v>194</v>
      </c>
    </row>
    <row r="182" spans="6:38" x14ac:dyDescent="0.25">
      <c r="F182" s="36">
        <v>169</v>
      </c>
      <c r="G182">
        <v>27</v>
      </c>
      <c r="H182">
        <v>40</v>
      </c>
      <c r="I182">
        <v>241</v>
      </c>
      <c r="J182">
        <v>19</v>
      </c>
      <c r="K182">
        <v>184</v>
      </c>
      <c r="L182">
        <v>140</v>
      </c>
      <c r="M182">
        <v>219</v>
      </c>
      <c r="N182">
        <v>135</v>
      </c>
      <c r="O182">
        <v>129</v>
      </c>
      <c r="P182">
        <v>136</v>
      </c>
      <c r="Q182">
        <v>32</v>
      </c>
      <c r="R182">
        <v>71</v>
      </c>
      <c r="S182">
        <v>179</v>
      </c>
      <c r="T182">
        <v>26</v>
      </c>
      <c r="U182">
        <v>1</v>
      </c>
      <c r="V182">
        <v>120</v>
      </c>
      <c r="W182">
        <v>74</v>
      </c>
      <c r="X182">
        <v>230</v>
      </c>
      <c r="Y182">
        <v>157</v>
      </c>
      <c r="Z182">
        <v>149</v>
      </c>
      <c r="AA182">
        <v>111</v>
      </c>
      <c r="AB182">
        <v>170</v>
      </c>
      <c r="AC182">
        <v>191</v>
      </c>
      <c r="AD182">
        <v>177</v>
      </c>
      <c r="AE182">
        <v>9</v>
      </c>
      <c r="AF182">
        <v>90</v>
      </c>
      <c r="AG182">
        <v>124</v>
      </c>
      <c r="AH182">
        <v>142</v>
      </c>
      <c r="AI182">
        <v>200</v>
      </c>
      <c r="AJ182">
        <v>71</v>
      </c>
      <c r="AK182">
        <v>54</v>
      </c>
      <c r="AL182">
        <v>159</v>
      </c>
    </row>
    <row r="183" spans="6:38" x14ac:dyDescent="0.25">
      <c r="F183" s="36">
        <v>170</v>
      </c>
      <c r="G183">
        <v>24</v>
      </c>
      <c r="H183">
        <v>142</v>
      </c>
      <c r="I183">
        <v>22</v>
      </c>
      <c r="J183">
        <v>139</v>
      </c>
      <c r="K183">
        <v>191</v>
      </c>
      <c r="L183">
        <v>115</v>
      </c>
      <c r="M183">
        <v>82</v>
      </c>
      <c r="N183">
        <v>104</v>
      </c>
      <c r="O183">
        <v>150</v>
      </c>
      <c r="P183">
        <v>48</v>
      </c>
      <c r="Q183">
        <v>96</v>
      </c>
      <c r="R183">
        <v>211</v>
      </c>
      <c r="S183">
        <v>217</v>
      </c>
      <c r="T183">
        <v>16</v>
      </c>
      <c r="U183">
        <v>196</v>
      </c>
      <c r="V183">
        <v>86</v>
      </c>
      <c r="W183">
        <v>82</v>
      </c>
      <c r="X183">
        <v>59</v>
      </c>
      <c r="Y183">
        <v>125</v>
      </c>
      <c r="Z183">
        <v>166</v>
      </c>
      <c r="AA183">
        <v>153</v>
      </c>
      <c r="AB183">
        <v>129</v>
      </c>
      <c r="AC183">
        <v>249</v>
      </c>
      <c r="AD183">
        <v>152</v>
      </c>
      <c r="AE183">
        <v>246</v>
      </c>
      <c r="AF183">
        <v>105</v>
      </c>
      <c r="AG183">
        <v>185</v>
      </c>
      <c r="AH183">
        <v>238</v>
      </c>
      <c r="AI183">
        <v>143</v>
      </c>
      <c r="AJ183">
        <v>63</v>
      </c>
      <c r="AK183">
        <v>142</v>
      </c>
      <c r="AL183">
        <v>158</v>
      </c>
    </row>
    <row r="184" spans="6:38" x14ac:dyDescent="0.25">
      <c r="F184" s="36">
        <v>171</v>
      </c>
      <c r="G184">
        <v>199</v>
      </c>
      <c r="H184">
        <v>123</v>
      </c>
      <c r="I184">
        <v>122</v>
      </c>
      <c r="J184">
        <v>89</v>
      </c>
      <c r="K184">
        <v>141</v>
      </c>
      <c r="L184">
        <v>5</v>
      </c>
      <c r="M184">
        <v>136</v>
      </c>
      <c r="N184">
        <v>1</v>
      </c>
      <c r="O184">
        <v>143</v>
      </c>
      <c r="P184">
        <v>216</v>
      </c>
      <c r="Q184">
        <v>252</v>
      </c>
      <c r="R184">
        <v>239</v>
      </c>
      <c r="S184">
        <v>139</v>
      </c>
      <c r="T184">
        <v>223</v>
      </c>
      <c r="U184">
        <v>119</v>
      </c>
      <c r="V184">
        <v>230</v>
      </c>
      <c r="W184">
        <v>114</v>
      </c>
      <c r="X184">
        <v>126</v>
      </c>
      <c r="Y184">
        <v>114</v>
      </c>
      <c r="Z184">
        <v>164</v>
      </c>
      <c r="AA184">
        <v>48</v>
      </c>
      <c r="AB184">
        <v>31</v>
      </c>
      <c r="AC184">
        <v>210</v>
      </c>
      <c r="AD184">
        <v>45</v>
      </c>
      <c r="AE184">
        <v>200</v>
      </c>
      <c r="AF184">
        <v>200</v>
      </c>
      <c r="AG184">
        <v>151</v>
      </c>
      <c r="AH184">
        <v>36</v>
      </c>
      <c r="AI184">
        <v>73</v>
      </c>
      <c r="AJ184">
        <v>87</v>
      </c>
      <c r="AK184">
        <v>45</v>
      </c>
      <c r="AL184">
        <v>94</v>
      </c>
    </row>
    <row r="185" spans="6:38" x14ac:dyDescent="0.25">
      <c r="F185" s="36">
        <v>172</v>
      </c>
      <c r="G185">
        <v>173</v>
      </c>
      <c r="H185">
        <v>223</v>
      </c>
      <c r="I185">
        <v>214</v>
      </c>
      <c r="J185">
        <v>129</v>
      </c>
      <c r="K185">
        <v>85</v>
      </c>
      <c r="L185">
        <v>226</v>
      </c>
      <c r="M185">
        <v>117</v>
      </c>
      <c r="N185">
        <v>171</v>
      </c>
      <c r="O185">
        <v>80</v>
      </c>
      <c r="P185">
        <v>129</v>
      </c>
      <c r="Q185">
        <v>52</v>
      </c>
      <c r="R185">
        <v>197</v>
      </c>
      <c r="S185">
        <v>56</v>
      </c>
      <c r="T185">
        <v>238</v>
      </c>
      <c r="U185">
        <v>41</v>
      </c>
      <c r="V185">
        <v>163</v>
      </c>
      <c r="W185">
        <v>186</v>
      </c>
      <c r="X185">
        <v>142</v>
      </c>
      <c r="Y185">
        <v>189</v>
      </c>
      <c r="Z185">
        <v>177</v>
      </c>
      <c r="AA185">
        <v>177</v>
      </c>
      <c r="AB185">
        <v>139</v>
      </c>
      <c r="AC185">
        <v>122</v>
      </c>
      <c r="AD185">
        <v>12</v>
      </c>
      <c r="AE185">
        <v>9</v>
      </c>
      <c r="AF185">
        <v>77</v>
      </c>
      <c r="AG185">
        <v>248</v>
      </c>
      <c r="AH185">
        <v>107</v>
      </c>
      <c r="AI185">
        <v>240</v>
      </c>
      <c r="AJ185">
        <v>75</v>
      </c>
      <c r="AK185">
        <v>81</v>
      </c>
      <c r="AL185">
        <v>225</v>
      </c>
    </row>
    <row r="186" spans="6:38" x14ac:dyDescent="0.25">
      <c r="F186" s="36">
        <v>173</v>
      </c>
      <c r="G186">
        <v>220</v>
      </c>
      <c r="H186">
        <v>149</v>
      </c>
      <c r="I186">
        <v>115</v>
      </c>
      <c r="J186">
        <v>214</v>
      </c>
      <c r="K186">
        <v>141</v>
      </c>
      <c r="L186">
        <v>255</v>
      </c>
      <c r="M186">
        <v>196</v>
      </c>
      <c r="N186">
        <v>141</v>
      </c>
      <c r="O186">
        <v>182</v>
      </c>
      <c r="P186">
        <v>75</v>
      </c>
      <c r="Q186">
        <v>174</v>
      </c>
      <c r="R186">
        <v>202</v>
      </c>
      <c r="S186">
        <v>11</v>
      </c>
      <c r="T186">
        <v>23</v>
      </c>
      <c r="U186">
        <v>185</v>
      </c>
      <c r="V186">
        <v>222</v>
      </c>
      <c r="W186">
        <v>201</v>
      </c>
      <c r="X186">
        <v>93</v>
      </c>
      <c r="Y186">
        <v>31</v>
      </c>
      <c r="Z186">
        <v>145</v>
      </c>
      <c r="AA186">
        <v>1</v>
      </c>
      <c r="AB186">
        <v>29</v>
      </c>
      <c r="AC186">
        <v>3</v>
      </c>
      <c r="AD186">
        <v>5</v>
      </c>
      <c r="AE186">
        <v>189</v>
      </c>
      <c r="AF186">
        <v>1</v>
      </c>
      <c r="AG186">
        <v>53</v>
      </c>
      <c r="AH186">
        <v>3</v>
      </c>
      <c r="AI186">
        <v>185</v>
      </c>
      <c r="AJ186">
        <v>251</v>
      </c>
      <c r="AK186">
        <v>6</v>
      </c>
      <c r="AL186">
        <v>17</v>
      </c>
    </row>
    <row r="187" spans="6:38" x14ac:dyDescent="0.25">
      <c r="F187" s="36">
        <v>174</v>
      </c>
      <c r="G187">
        <v>183</v>
      </c>
      <c r="H187">
        <v>73</v>
      </c>
      <c r="I187">
        <v>31</v>
      </c>
      <c r="J187">
        <v>148</v>
      </c>
      <c r="K187">
        <v>197</v>
      </c>
      <c r="L187">
        <v>27</v>
      </c>
      <c r="M187">
        <v>3</v>
      </c>
      <c r="N187">
        <v>254</v>
      </c>
      <c r="O187">
        <v>61</v>
      </c>
      <c r="P187">
        <v>115</v>
      </c>
      <c r="Q187">
        <v>161</v>
      </c>
      <c r="R187">
        <v>242</v>
      </c>
      <c r="S187">
        <v>230</v>
      </c>
      <c r="T187">
        <v>105</v>
      </c>
      <c r="U187">
        <v>91</v>
      </c>
      <c r="V187">
        <v>17</v>
      </c>
      <c r="W187">
        <v>233</v>
      </c>
      <c r="X187">
        <v>133</v>
      </c>
      <c r="Y187">
        <v>116</v>
      </c>
      <c r="Z187">
        <v>24</v>
      </c>
      <c r="AA187">
        <v>12</v>
      </c>
      <c r="AB187">
        <v>1</v>
      </c>
      <c r="AC187">
        <v>21</v>
      </c>
      <c r="AD187">
        <v>38</v>
      </c>
      <c r="AE187">
        <v>110</v>
      </c>
      <c r="AF187">
        <v>79</v>
      </c>
      <c r="AG187">
        <v>176</v>
      </c>
      <c r="AH187">
        <v>10</v>
      </c>
      <c r="AI187">
        <v>188</v>
      </c>
      <c r="AJ187">
        <v>89</v>
      </c>
      <c r="AK187">
        <v>211</v>
      </c>
      <c r="AL187">
        <v>236</v>
      </c>
    </row>
    <row r="188" spans="6:38" x14ac:dyDescent="0.25">
      <c r="F188" s="36">
        <v>175</v>
      </c>
      <c r="G188">
        <v>236</v>
      </c>
      <c r="H188">
        <v>186</v>
      </c>
      <c r="I188">
        <v>191</v>
      </c>
      <c r="J188">
        <v>140</v>
      </c>
      <c r="K188">
        <v>249</v>
      </c>
      <c r="L188">
        <v>32</v>
      </c>
      <c r="M188">
        <v>111</v>
      </c>
      <c r="N188">
        <v>39</v>
      </c>
      <c r="O188">
        <v>232</v>
      </c>
      <c r="P188">
        <v>16</v>
      </c>
      <c r="Q188">
        <v>118</v>
      </c>
      <c r="R188">
        <v>7</v>
      </c>
      <c r="S188">
        <v>82</v>
      </c>
      <c r="T188">
        <v>122</v>
      </c>
      <c r="U188">
        <v>136</v>
      </c>
      <c r="V188">
        <v>251</v>
      </c>
      <c r="W188">
        <v>15</v>
      </c>
      <c r="X188">
        <v>112</v>
      </c>
      <c r="Y188">
        <v>161</v>
      </c>
      <c r="Z188">
        <v>223</v>
      </c>
      <c r="AA188">
        <v>15</v>
      </c>
      <c r="AB188">
        <v>144</v>
      </c>
      <c r="AC188">
        <v>43</v>
      </c>
      <c r="AD188">
        <v>79</v>
      </c>
      <c r="AE188">
        <v>175</v>
      </c>
      <c r="AF188">
        <v>125</v>
      </c>
      <c r="AG188">
        <v>185</v>
      </c>
      <c r="AH188">
        <v>246</v>
      </c>
      <c r="AI188">
        <v>14</v>
      </c>
      <c r="AJ188">
        <v>34</v>
      </c>
      <c r="AK188">
        <v>205</v>
      </c>
      <c r="AL188">
        <v>217</v>
      </c>
    </row>
    <row r="189" spans="6:38" x14ac:dyDescent="0.25">
      <c r="F189" s="36">
        <v>176</v>
      </c>
      <c r="G189">
        <v>4</v>
      </c>
      <c r="H189">
        <v>208</v>
      </c>
      <c r="I189">
        <v>18</v>
      </c>
      <c r="J189">
        <v>89</v>
      </c>
      <c r="K189">
        <v>102</v>
      </c>
      <c r="L189">
        <v>204</v>
      </c>
      <c r="M189">
        <v>211</v>
      </c>
      <c r="N189">
        <v>221</v>
      </c>
      <c r="O189">
        <v>124</v>
      </c>
      <c r="P189">
        <v>155</v>
      </c>
      <c r="Q189">
        <v>69</v>
      </c>
      <c r="R189">
        <v>139</v>
      </c>
      <c r="S189">
        <v>158</v>
      </c>
      <c r="T189">
        <v>104</v>
      </c>
      <c r="U189">
        <v>105</v>
      </c>
      <c r="V189">
        <v>73</v>
      </c>
      <c r="W189">
        <v>244</v>
      </c>
      <c r="X189">
        <v>226</v>
      </c>
      <c r="Y189">
        <v>114</v>
      </c>
      <c r="Z189">
        <v>9</v>
      </c>
      <c r="AA189">
        <v>177</v>
      </c>
      <c r="AB189">
        <v>13</v>
      </c>
      <c r="AC189">
        <v>16</v>
      </c>
      <c r="AD189">
        <v>219</v>
      </c>
      <c r="AE189">
        <v>194</v>
      </c>
      <c r="AF189">
        <v>25</v>
      </c>
      <c r="AG189">
        <v>131</v>
      </c>
      <c r="AH189">
        <v>176</v>
      </c>
      <c r="AI189">
        <v>41</v>
      </c>
      <c r="AJ189">
        <v>7</v>
      </c>
      <c r="AK189">
        <v>174</v>
      </c>
      <c r="AL189">
        <v>3</v>
      </c>
    </row>
    <row r="190" spans="6:38" x14ac:dyDescent="0.25">
      <c r="F190" s="36">
        <v>177</v>
      </c>
      <c r="G190">
        <v>123</v>
      </c>
      <c r="H190">
        <v>182</v>
      </c>
      <c r="I190">
        <v>72</v>
      </c>
      <c r="J190">
        <v>214</v>
      </c>
      <c r="K190">
        <v>188</v>
      </c>
      <c r="L190">
        <v>2</v>
      </c>
      <c r="M190">
        <v>122</v>
      </c>
      <c r="N190">
        <v>181</v>
      </c>
      <c r="O190">
        <v>249</v>
      </c>
      <c r="P190">
        <v>227</v>
      </c>
      <c r="Q190">
        <v>214</v>
      </c>
      <c r="R190">
        <v>246</v>
      </c>
      <c r="S190">
        <v>129</v>
      </c>
      <c r="T190">
        <v>156</v>
      </c>
      <c r="U190">
        <v>222</v>
      </c>
      <c r="V190">
        <v>99</v>
      </c>
      <c r="W190">
        <v>64</v>
      </c>
      <c r="X190">
        <v>19</v>
      </c>
      <c r="Y190">
        <v>104</v>
      </c>
      <c r="Z190">
        <v>69</v>
      </c>
      <c r="AA190">
        <v>79</v>
      </c>
      <c r="AB190">
        <v>56</v>
      </c>
      <c r="AC190">
        <v>89</v>
      </c>
      <c r="AD190">
        <v>19</v>
      </c>
      <c r="AE190">
        <v>23</v>
      </c>
      <c r="AF190">
        <v>97</v>
      </c>
      <c r="AG190">
        <v>75</v>
      </c>
      <c r="AH190">
        <v>209</v>
      </c>
      <c r="AI190">
        <v>37</v>
      </c>
      <c r="AJ190">
        <v>218</v>
      </c>
      <c r="AK190">
        <v>1</v>
      </c>
      <c r="AL190">
        <v>181</v>
      </c>
    </row>
    <row r="191" spans="6:38" x14ac:dyDescent="0.25">
      <c r="F191" s="36">
        <v>178</v>
      </c>
      <c r="G191">
        <v>246</v>
      </c>
      <c r="H191">
        <v>67</v>
      </c>
      <c r="I191">
        <v>99</v>
      </c>
      <c r="J191">
        <v>159</v>
      </c>
      <c r="K191">
        <v>232</v>
      </c>
      <c r="L191">
        <v>168</v>
      </c>
      <c r="M191">
        <v>21</v>
      </c>
      <c r="N191">
        <v>141</v>
      </c>
      <c r="O191">
        <v>125</v>
      </c>
      <c r="P191">
        <v>97</v>
      </c>
      <c r="Q191">
        <v>198</v>
      </c>
      <c r="R191">
        <v>151</v>
      </c>
      <c r="S191">
        <v>155</v>
      </c>
      <c r="T191">
        <v>76</v>
      </c>
      <c r="U191">
        <v>55</v>
      </c>
      <c r="V191">
        <v>119</v>
      </c>
      <c r="W191">
        <v>247</v>
      </c>
      <c r="X191">
        <v>158</v>
      </c>
      <c r="Y191">
        <v>222</v>
      </c>
      <c r="Z191">
        <v>128</v>
      </c>
      <c r="AA191">
        <v>73</v>
      </c>
      <c r="AB191">
        <v>65</v>
      </c>
      <c r="AC191">
        <v>7</v>
      </c>
      <c r="AD191">
        <v>47</v>
      </c>
      <c r="AE191">
        <v>201</v>
      </c>
      <c r="AF191">
        <v>212</v>
      </c>
      <c r="AG191">
        <v>186</v>
      </c>
      <c r="AH191">
        <v>205</v>
      </c>
      <c r="AI191">
        <v>189</v>
      </c>
      <c r="AJ191">
        <v>176</v>
      </c>
      <c r="AK191">
        <v>152</v>
      </c>
      <c r="AL191">
        <v>208</v>
      </c>
    </row>
    <row r="192" spans="6:38" x14ac:dyDescent="0.25">
      <c r="F192" s="36">
        <v>179</v>
      </c>
      <c r="G192">
        <v>80</v>
      </c>
      <c r="H192">
        <v>85</v>
      </c>
      <c r="I192">
        <v>212</v>
      </c>
      <c r="J192">
        <v>156</v>
      </c>
      <c r="K192">
        <v>98</v>
      </c>
      <c r="L192">
        <v>33</v>
      </c>
      <c r="M192">
        <v>120</v>
      </c>
      <c r="N192">
        <v>163</v>
      </c>
      <c r="O192">
        <v>97</v>
      </c>
      <c r="P192">
        <v>61</v>
      </c>
      <c r="Q192">
        <v>190</v>
      </c>
      <c r="R192">
        <v>35</v>
      </c>
      <c r="S192">
        <v>80</v>
      </c>
      <c r="T192">
        <v>40</v>
      </c>
      <c r="U192">
        <v>28</v>
      </c>
      <c r="V192">
        <v>101</v>
      </c>
      <c r="W192">
        <v>186</v>
      </c>
      <c r="X192">
        <v>28</v>
      </c>
      <c r="Y192">
        <v>235</v>
      </c>
      <c r="Z192">
        <v>7</v>
      </c>
      <c r="AA192">
        <v>85</v>
      </c>
      <c r="AB192">
        <v>182</v>
      </c>
      <c r="AC192">
        <v>37</v>
      </c>
      <c r="AD192">
        <v>100</v>
      </c>
      <c r="AE192">
        <v>228</v>
      </c>
      <c r="AF192">
        <v>16</v>
      </c>
      <c r="AG192">
        <v>23</v>
      </c>
      <c r="AH192">
        <v>64</v>
      </c>
      <c r="AI192">
        <v>126</v>
      </c>
      <c r="AJ192">
        <v>242</v>
      </c>
      <c r="AK192">
        <v>201</v>
      </c>
      <c r="AL192">
        <v>231</v>
      </c>
    </row>
    <row r="193" spans="6:38" x14ac:dyDescent="0.25">
      <c r="F193" s="36">
        <v>180</v>
      </c>
      <c r="G193">
        <v>242</v>
      </c>
      <c r="H193">
        <v>35</v>
      </c>
      <c r="I193">
        <v>121</v>
      </c>
      <c r="J193">
        <v>47</v>
      </c>
      <c r="K193">
        <v>50</v>
      </c>
      <c r="L193">
        <v>158</v>
      </c>
      <c r="M193">
        <v>79</v>
      </c>
      <c r="N193">
        <v>179</v>
      </c>
      <c r="O193">
        <v>150</v>
      </c>
      <c r="P193">
        <v>35</v>
      </c>
      <c r="Q193">
        <v>79</v>
      </c>
      <c r="R193">
        <v>34</v>
      </c>
      <c r="S193">
        <v>217</v>
      </c>
      <c r="T193">
        <v>110</v>
      </c>
      <c r="U193">
        <v>59</v>
      </c>
      <c r="V193">
        <v>30</v>
      </c>
      <c r="W193">
        <v>37</v>
      </c>
      <c r="X193">
        <v>127</v>
      </c>
      <c r="Y193">
        <v>99</v>
      </c>
      <c r="Z193">
        <v>200</v>
      </c>
      <c r="AA193">
        <v>30</v>
      </c>
      <c r="AB193">
        <v>45</v>
      </c>
      <c r="AC193">
        <v>142</v>
      </c>
      <c r="AD193">
        <v>221</v>
      </c>
      <c r="AE193">
        <v>236</v>
      </c>
      <c r="AF193">
        <v>231</v>
      </c>
      <c r="AG193">
        <v>234</v>
      </c>
      <c r="AH193">
        <v>191</v>
      </c>
      <c r="AI193">
        <v>26</v>
      </c>
      <c r="AJ193">
        <v>84</v>
      </c>
      <c r="AK193">
        <v>243</v>
      </c>
      <c r="AL193">
        <v>200</v>
      </c>
    </row>
    <row r="194" spans="6:38" x14ac:dyDescent="0.25">
      <c r="F194" s="36">
        <v>181</v>
      </c>
      <c r="G194">
        <v>51</v>
      </c>
      <c r="H194">
        <v>175</v>
      </c>
      <c r="I194">
        <v>107</v>
      </c>
      <c r="J194">
        <v>181</v>
      </c>
      <c r="K194">
        <v>37</v>
      </c>
      <c r="L194">
        <v>81</v>
      </c>
      <c r="M194">
        <v>95</v>
      </c>
      <c r="N194">
        <v>178</v>
      </c>
      <c r="O194">
        <v>98</v>
      </c>
      <c r="P194">
        <v>124</v>
      </c>
      <c r="Q194">
        <v>36</v>
      </c>
      <c r="R194">
        <v>197</v>
      </c>
      <c r="S194">
        <v>79</v>
      </c>
      <c r="T194">
        <v>166</v>
      </c>
      <c r="U194">
        <v>154</v>
      </c>
      <c r="V194">
        <v>163</v>
      </c>
      <c r="W194">
        <v>29</v>
      </c>
      <c r="X194">
        <v>76</v>
      </c>
      <c r="Y194">
        <v>220</v>
      </c>
      <c r="Z194">
        <v>117</v>
      </c>
      <c r="AA194">
        <v>250</v>
      </c>
      <c r="AB194">
        <v>129</v>
      </c>
      <c r="AC194">
        <v>165</v>
      </c>
      <c r="AD194">
        <v>129</v>
      </c>
      <c r="AE194">
        <v>242</v>
      </c>
      <c r="AF194">
        <v>170</v>
      </c>
      <c r="AG194">
        <v>125</v>
      </c>
      <c r="AH194">
        <v>81</v>
      </c>
      <c r="AI194">
        <v>200</v>
      </c>
      <c r="AJ194">
        <v>15</v>
      </c>
      <c r="AK194">
        <v>8</v>
      </c>
      <c r="AL194">
        <v>119</v>
      </c>
    </row>
    <row r="195" spans="6:38" x14ac:dyDescent="0.25">
      <c r="F195" s="36">
        <v>182</v>
      </c>
      <c r="G195">
        <v>195</v>
      </c>
      <c r="H195">
        <v>150</v>
      </c>
      <c r="I195">
        <v>27</v>
      </c>
      <c r="J195">
        <v>226</v>
      </c>
      <c r="K195">
        <v>30</v>
      </c>
      <c r="L195">
        <v>17</v>
      </c>
      <c r="M195">
        <v>56</v>
      </c>
      <c r="N195">
        <v>130</v>
      </c>
      <c r="O195">
        <v>18</v>
      </c>
      <c r="P195">
        <v>206</v>
      </c>
      <c r="Q195">
        <v>144</v>
      </c>
      <c r="R195">
        <v>243</v>
      </c>
      <c r="S195">
        <v>186</v>
      </c>
      <c r="T195">
        <v>54</v>
      </c>
      <c r="U195">
        <v>32</v>
      </c>
      <c r="V195">
        <v>130</v>
      </c>
      <c r="W195">
        <v>102</v>
      </c>
      <c r="X195">
        <v>87</v>
      </c>
      <c r="Y195">
        <v>53</v>
      </c>
      <c r="Z195">
        <v>63</v>
      </c>
      <c r="AA195">
        <v>18</v>
      </c>
      <c r="AB195">
        <v>142</v>
      </c>
      <c r="AC195">
        <v>155</v>
      </c>
      <c r="AD195">
        <v>249</v>
      </c>
      <c r="AE195">
        <v>121</v>
      </c>
      <c r="AF195">
        <v>187</v>
      </c>
      <c r="AG195">
        <v>83</v>
      </c>
      <c r="AH195">
        <v>203</v>
      </c>
      <c r="AI195">
        <v>27</v>
      </c>
      <c r="AJ195">
        <v>97</v>
      </c>
      <c r="AK195">
        <v>6</v>
      </c>
      <c r="AL195">
        <v>195</v>
      </c>
    </row>
    <row r="196" spans="6:38" x14ac:dyDescent="0.25">
      <c r="F196" s="36">
        <v>183</v>
      </c>
      <c r="G196">
        <v>179</v>
      </c>
      <c r="H196">
        <v>149</v>
      </c>
      <c r="I196">
        <v>148</v>
      </c>
      <c r="J196">
        <v>126</v>
      </c>
      <c r="K196">
        <v>165</v>
      </c>
      <c r="L196">
        <v>103</v>
      </c>
      <c r="M196">
        <v>192</v>
      </c>
      <c r="N196">
        <v>130</v>
      </c>
      <c r="O196">
        <v>246</v>
      </c>
      <c r="P196">
        <v>212</v>
      </c>
      <c r="Q196">
        <v>126</v>
      </c>
      <c r="R196">
        <v>172</v>
      </c>
      <c r="S196">
        <v>243</v>
      </c>
      <c r="T196">
        <v>105</v>
      </c>
      <c r="U196">
        <v>195</v>
      </c>
      <c r="V196">
        <v>172</v>
      </c>
      <c r="W196">
        <v>59</v>
      </c>
      <c r="X196">
        <v>9</v>
      </c>
      <c r="Y196">
        <v>204</v>
      </c>
      <c r="Z196">
        <v>207</v>
      </c>
      <c r="AA196">
        <v>208</v>
      </c>
      <c r="AB196">
        <v>20</v>
      </c>
      <c r="AC196">
        <v>221</v>
      </c>
      <c r="AD196">
        <v>58</v>
      </c>
      <c r="AE196">
        <v>138</v>
      </c>
      <c r="AF196">
        <v>173</v>
      </c>
      <c r="AG196">
        <v>167</v>
      </c>
      <c r="AH196">
        <v>199</v>
      </c>
      <c r="AI196">
        <v>112</v>
      </c>
      <c r="AJ196">
        <v>178</v>
      </c>
      <c r="AK196">
        <v>9</v>
      </c>
      <c r="AL196">
        <v>188</v>
      </c>
    </row>
    <row r="197" spans="6:38" x14ac:dyDescent="0.25">
      <c r="F197" s="36">
        <v>184</v>
      </c>
      <c r="G197">
        <v>183</v>
      </c>
      <c r="H197">
        <v>135</v>
      </c>
      <c r="I197">
        <v>209</v>
      </c>
      <c r="J197">
        <v>114</v>
      </c>
      <c r="K197">
        <v>194</v>
      </c>
      <c r="L197">
        <v>98</v>
      </c>
      <c r="M197">
        <v>227</v>
      </c>
      <c r="N197">
        <v>231</v>
      </c>
      <c r="O197">
        <v>24</v>
      </c>
      <c r="P197">
        <v>214</v>
      </c>
      <c r="Q197">
        <v>1</v>
      </c>
      <c r="R197">
        <v>112</v>
      </c>
      <c r="S197">
        <v>211</v>
      </c>
      <c r="T197">
        <v>50</v>
      </c>
      <c r="U197">
        <v>247</v>
      </c>
      <c r="V197">
        <v>97</v>
      </c>
      <c r="W197">
        <v>191</v>
      </c>
      <c r="X197">
        <v>93</v>
      </c>
      <c r="Y197">
        <v>154</v>
      </c>
      <c r="Z197">
        <v>70</v>
      </c>
      <c r="AA197">
        <v>124</v>
      </c>
      <c r="AB197">
        <v>61</v>
      </c>
      <c r="AC197">
        <v>145</v>
      </c>
      <c r="AD197">
        <v>239</v>
      </c>
      <c r="AE197">
        <v>231</v>
      </c>
      <c r="AF197">
        <v>163</v>
      </c>
      <c r="AG197">
        <v>60</v>
      </c>
      <c r="AH197">
        <v>59</v>
      </c>
      <c r="AI197">
        <v>134</v>
      </c>
      <c r="AJ197">
        <v>22</v>
      </c>
      <c r="AK197">
        <v>73</v>
      </c>
      <c r="AL197">
        <v>72</v>
      </c>
    </row>
    <row r="198" spans="6:38" x14ac:dyDescent="0.25">
      <c r="F198" s="36">
        <v>185</v>
      </c>
      <c r="G198">
        <v>194</v>
      </c>
      <c r="H198">
        <v>168</v>
      </c>
      <c r="I198">
        <v>106</v>
      </c>
      <c r="J198">
        <v>226</v>
      </c>
      <c r="K198">
        <v>223</v>
      </c>
      <c r="L198">
        <v>169</v>
      </c>
      <c r="M198">
        <v>72</v>
      </c>
      <c r="N198">
        <v>123</v>
      </c>
      <c r="O198">
        <v>152</v>
      </c>
      <c r="P198">
        <v>251</v>
      </c>
      <c r="Q198">
        <v>170</v>
      </c>
      <c r="R198">
        <v>7</v>
      </c>
      <c r="S198">
        <v>141</v>
      </c>
      <c r="T198">
        <v>109</v>
      </c>
      <c r="U198">
        <v>246</v>
      </c>
      <c r="V198">
        <v>78</v>
      </c>
      <c r="W198">
        <v>68</v>
      </c>
      <c r="X198">
        <v>253</v>
      </c>
      <c r="Y198">
        <v>33</v>
      </c>
      <c r="Z198">
        <v>28</v>
      </c>
      <c r="AA198">
        <v>47</v>
      </c>
      <c r="AB198">
        <v>22</v>
      </c>
      <c r="AC198">
        <v>195</v>
      </c>
      <c r="AD198">
        <v>128</v>
      </c>
      <c r="AE198">
        <v>2</v>
      </c>
      <c r="AF198">
        <v>106</v>
      </c>
      <c r="AG198">
        <v>113</v>
      </c>
      <c r="AH198">
        <v>216</v>
      </c>
      <c r="AI198">
        <v>35</v>
      </c>
      <c r="AJ198">
        <v>103</v>
      </c>
      <c r="AK198">
        <v>37</v>
      </c>
      <c r="AL198">
        <v>189</v>
      </c>
    </row>
    <row r="199" spans="6:38" x14ac:dyDescent="0.25">
      <c r="F199" s="36">
        <v>186</v>
      </c>
      <c r="G199">
        <v>209</v>
      </c>
      <c r="H199">
        <v>51</v>
      </c>
      <c r="I199">
        <v>243</v>
      </c>
      <c r="J199">
        <v>172</v>
      </c>
      <c r="K199">
        <v>87</v>
      </c>
      <c r="L199">
        <v>40</v>
      </c>
      <c r="M199">
        <v>95</v>
      </c>
      <c r="N199">
        <v>124</v>
      </c>
      <c r="O199">
        <v>138</v>
      </c>
      <c r="P199">
        <v>55</v>
      </c>
      <c r="Q199">
        <v>148</v>
      </c>
      <c r="R199">
        <v>196</v>
      </c>
      <c r="S199">
        <v>166</v>
      </c>
      <c r="T199">
        <v>102</v>
      </c>
      <c r="U199">
        <v>93</v>
      </c>
      <c r="V199">
        <v>110</v>
      </c>
      <c r="W199">
        <v>15</v>
      </c>
      <c r="X199">
        <v>237</v>
      </c>
      <c r="Y199">
        <v>136</v>
      </c>
      <c r="Z199">
        <v>255</v>
      </c>
      <c r="AA199">
        <v>51</v>
      </c>
      <c r="AB199">
        <v>57</v>
      </c>
      <c r="AC199">
        <v>106</v>
      </c>
      <c r="AD199">
        <v>86</v>
      </c>
      <c r="AE199">
        <v>246</v>
      </c>
      <c r="AF199">
        <v>217</v>
      </c>
      <c r="AG199">
        <v>36</v>
      </c>
      <c r="AH199">
        <v>140</v>
      </c>
      <c r="AI199">
        <v>3</v>
      </c>
      <c r="AJ199">
        <v>101</v>
      </c>
      <c r="AK199">
        <v>11</v>
      </c>
      <c r="AL199">
        <v>151</v>
      </c>
    </row>
    <row r="200" spans="6:38" x14ac:dyDescent="0.25">
      <c r="F200" s="36">
        <v>187</v>
      </c>
      <c r="G200">
        <v>90</v>
      </c>
      <c r="H200">
        <v>139</v>
      </c>
      <c r="I200">
        <v>80</v>
      </c>
      <c r="J200">
        <v>252</v>
      </c>
      <c r="K200">
        <v>188</v>
      </c>
      <c r="L200">
        <v>46</v>
      </c>
      <c r="M200">
        <v>98</v>
      </c>
      <c r="N200">
        <v>45</v>
      </c>
      <c r="O200">
        <v>98</v>
      </c>
      <c r="P200">
        <v>28</v>
      </c>
      <c r="Q200">
        <v>106</v>
      </c>
      <c r="R200">
        <v>25</v>
      </c>
      <c r="S200">
        <v>83</v>
      </c>
      <c r="T200">
        <v>90</v>
      </c>
      <c r="U200">
        <v>40</v>
      </c>
      <c r="V200">
        <v>206</v>
      </c>
      <c r="W200">
        <v>212</v>
      </c>
      <c r="X200">
        <v>16</v>
      </c>
      <c r="Y200">
        <v>4</v>
      </c>
      <c r="Z200">
        <v>195</v>
      </c>
      <c r="AA200">
        <v>62</v>
      </c>
      <c r="AB200">
        <v>196</v>
      </c>
      <c r="AC200">
        <v>88</v>
      </c>
      <c r="AD200">
        <v>4</v>
      </c>
      <c r="AE200">
        <v>174</v>
      </c>
      <c r="AF200">
        <v>140</v>
      </c>
      <c r="AG200">
        <v>55</v>
      </c>
      <c r="AH200">
        <v>198</v>
      </c>
      <c r="AI200">
        <v>177</v>
      </c>
      <c r="AJ200">
        <v>29</v>
      </c>
      <c r="AK200">
        <v>39</v>
      </c>
      <c r="AL200">
        <v>79</v>
      </c>
    </row>
    <row r="201" spans="6:38" x14ac:dyDescent="0.25">
      <c r="F201" s="36">
        <v>188</v>
      </c>
      <c r="G201">
        <v>55</v>
      </c>
      <c r="H201">
        <v>53</v>
      </c>
      <c r="I201">
        <v>46</v>
      </c>
      <c r="J201">
        <v>115</v>
      </c>
      <c r="K201">
        <v>133</v>
      </c>
      <c r="L201">
        <v>69</v>
      </c>
      <c r="M201">
        <v>147</v>
      </c>
      <c r="N201">
        <v>113</v>
      </c>
      <c r="O201">
        <v>101</v>
      </c>
      <c r="P201">
        <v>205</v>
      </c>
      <c r="Q201">
        <v>254</v>
      </c>
      <c r="R201">
        <v>196</v>
      </c>
      <c r="S201">
        <v>174</v>
      </c>
      <c r="T201">
        <v>223</v>
      </c>
      <c r="U201">
        <v>114</v>
      </c>
      <c r="V201">
        <v>96</v>
      </c>
      <c r="W201">
        <v>59</v>
      </c>
      <c r="X201">
        <v>235</v>
      </c>
      <c r="Y201">
        <v>242</v>
      </c>
      <c r="Z201">
        <v>130</v>
      </c>
      <c r="AA201">
        <v>211</v>
      </c>
      <c r="AB201">
        <v>241</v>
      </c>
      <c r="AC201">
        <v>209</v>
      </c>
      <c r="AD201">
        <v>210</v>
      </c>
      <c r="AE201">
        <v>51</v>
      </c>
      <c r="AF201">
        <v>222</v>
      </c>
      <c r="AG201">
        <v>242</v>
      </c>
      <c r="AH201">
        <v>63</v>
      </c>
      <c r="AI201">
        <v>142</v>
      </c>
      <c r="AJ201">
        <v>7</v>
      </c>
      <c r="AK201">
        <v>11</v>
      </c>
      <c r="AL201">
        <v>225</v>
      </c>
    </row>
    <row r="202" spans="6:38" x14ac:dyDescent="0.25">
      <c r="F202" s="36">
        <v>189</v>
      </c>
      <c r="G202">
        <v>58</v>
      </c>
      <c r="H202">
        <v>241</v>
      </c>
      <c r="I202">
        <v>143</v>
      </c>
      <c r="J202">
        <v>192</v>
      </c>
      <c r="K202">
        <v>106</v>
      </c>
      <c r="L202">
        <v>25</v>
      </c>
      <c r="M202">
        <v>110</v>
      </c>
      <c r="N202">
        <v>162</v>
      </c>
      <c r="O202">
        <v>223</v>
      </c>
      <c r="P202">
        <v>133</v>
      </c>
      <c r="Q202">
        <v>40</v>
      </c>
      <c r="R202">
        <v>18</v>
      </c>
      <c r="S202">
        <v>244</v>
      </c>
      <c r="T202">
        <v>106</v>
      </c>
      <c r="U202">
        <v>131</v>
      </c>
      <c r="V202">
        <v>124</v>
      </c>
      <c r="W202">
        <v>0</v>
      </c>
      <c r="X202">
        <v>82</v>
      </c>
      <c r="Y202">
        <v>89</v>
      </c>
      <c r="Z202">
        <v>108</v>
      </c>
      <c r="AA202">
        <v>33</v>
      </c>
      <c r="AB202">
        <v>238</v>
      </c>
      <c r="AC202">
        <v>14</v>
      </c>
      <c r="AD202">
        <v>85</v>
      </c>
      <c r="AE202">
        <v>206</v>
      </c>
      <c r="AF202">
        <v>80</v>
      </c>
      <c r="AG202">
        <v>48</v>
      </c>
      <c r="AH202">
        <v>76</v>
      </c>
      <c r="AI202">
        <v>31</v>
      </c>
      <c r="AJ202">
        <v>107</v>
      </c>
      <c r="AK202">
        <v>120</v>
      </c>
      <c r="AL202">
        <v>226</v>
      </c>
    </row>
    <row r="203" spans="6:38" x14ac:dyDescent="0.25">
      <c r="F203" s="36">
        <v>190</v>
      </c>
      <c r="G203">
        <v>52</v>
      </c>
      <c r="H203">
        <v>17</v>
      </c>
      <c r="I203">
        <v>127</v>
      </c>
      <c r="J203">
        <v>8</v>
      </c>
      <c r="K203">
        <v>17</v>
      </c>
      <c r="L203">
        <v>207</v>
      </c>
      <c r="M203">
        <v>218</v>
      </c>
      <c r="N203">
        <v>247</v>
      </c>
      <c r="O203">
        <v>253</v>
      </c>
      <c r="P203">
        <v>148</v>
      </c>
      <c r="Q203">
        <v>213</v>
      </c>
      <c r="R203">
        <v>102</v>
      </c>
      <c r="S203">
        <v>244</v>
      </c>
      <c r="T203">
        <v>144</v>
      </c>
      <c r="U203">
        <v>228</v>
      </c>
      <c r="V203">
        <v>56</v>
      </c>
      <c r="W203">
        <v>196</v>
      </c>
      <c r="X203">
        <v>86</v>
      </c>
      <c r="Y203">
        <v>158</v>
      </c>
      <c r="Z203">
        <v>134</v>
      </c>
      <c r="AA203">
        <v>164</v>
      </c>
      <c r="AB203">
        <v>174</v>
      </c>
      <c r="AC203">
        <v>26</v>
      </c>
      <c r="AD203">
        <v>20</v>
      </c>
      <c r="AE203">
        <v>204</v>
      </c>
      <c r="AF203">
        <v>173</v>
      </c>
      <c r="AG203">
        <v>219</v>
      </c>
      <c r="AH203">
        <v>231</v>
      </c>
      <c r="AI203">
        <v>247</v>
      </c>
      <c r="AJ203">
        <v>110</v>
      </c>
      <c r="AK203">
        <v>147</v>
      </c>
      <c r="AL203">
        <v>204</v>
      </c>
    </row>
    <row r="204" spans="6:38" x14ac:dyDescent="0.25">
      <c r="F204" s="36">
        <v>191</v>
      </c>
      <c r="G204">
        <v>129</v>
      </c>
      <c r="H204">
        <v>249</v>
      </c>
      <c r="I204">
        <v>156</v>
      </c>
      <c r="J204">
        <v>71</v>
      </c>
      <c r="K204">
        <v>53</v>
      </c>
      <c r="L204">
        <v>163</v>
      </c>
      <c r="M204">
        <v>7</v>
      </c>
      <c r="N204">
        <v>115</v>
      </c>
      <c r="O204">
        <v>108</v>
      </c>
      <c r="P204">
        <v>58</v>
      </c>
      <c r="Q204">
        <v>158</v>
      </c>
      <c r="R204">
        <v>244</v>
      </c>
      <c r="S204">
        <v>83</v>
      </c>
      <c r="T204">
        <v>125</v>
      </c>
      <c r="U204">
        <v>6</v>
      </c>
      <c r="V204">
        <v>124</v>
      </c>
      <c r="W204">
        <v>14</v>
      </c>
      <c r="X204">
        <v>59</v>
      </c>
      <c r="Y204">
        <v>183</v>
      </c>
      <c r="Z204">
        <v>5</v>
      </c>
      <c r="AA204">
        <v>251</v>
      </c>
      <c r="AB204">
        <v>48</v>
      </c>
      <c r="AC204">
        <v>17</v>
      </c>
      <c r="AD204">
        <v>204</v>
      </c>
      <c r="AE204">
        <v>101</v>
      </c>
      <c r="AF204">
        <v>122</v>
      </c>
      <c r="AG204">
        <v>202</v>
      </c>
      <c r="AH204">
        <v>154</v>
      </c>
      <c r="AI204">
        <v>159</v>
      </c>
      <c r="AJ204">
        <v>72</v>
      </c>
      <c r="AK204">
        <v>155</v>
      </c>
      <c r="AL204">
        <v>4</v>
      </c>
    </row>
    <row r="205" spans="6:38" x14ac:dyDescent="0.25">
      <c r="F205" s="36">
        <v>192</v>
      </c>
      <c r="G205">
        <v>133</v>
      </c>
      <c r="H205">
        <v>79</v>
      </c>
      <c r="I205">
        <v>249</v>
      </c>
      <c r="J205">
        <v>36</v>
      </c>
      <c r="K205">
        <v>147</v>
      </c>
      <c r="L205">
        <v>150</v>
      </c>
      <c r="M205">
        <v>79</v>
      </c>
      <c r="N205">
        <v>68</v>
      </c>
      <c r="O205">
        <v>104</v>
      </c>
      <c r="P205">
        <v>154</v>
      </c>
      <c r="Q205">
        <v>118</v>
      </c>
      <c r="R205">
        <v>139</v>
      </c>
      <c r="S205">
        <v>124</v>
      </c>
      <c r="T205">
        <v>240</v>
      </c>
      <c r="U205">
        <v>12</v>
      </c>
      <c r="V205">
        <v>66</v>
      </c>
      <c r="W205">
        <v>115</v>
      </c>
      <c r="X205">
        <v>99</v>
      </c>
      <c r="Y205">
        <v>156</v>
      </c>
      <c r="Z205">
        <v>171</v>
      </c>
      <c r="AA205">
        <v>22</v>
      </c>
      <c r="AB205">
        <v>0</v>
      </c>
      <c r="AC205">
        <v>239</v>
      </c>
      <c r="AD205">
        <v>181</v>
      </c>
      <c r="AE205">
        <v>248</v>
      </c>
      <c r="AF205">
        <v>207</v>
      </c>
      <c r="AG205">
        <v>203</v>
      </c>
      <c r="AH205">
        <v>231</v>
      </c>
      <c r="AI205">
        <v>157</v>
      </c>
      <c r="AJ205">
        <v>168</v>
      </c>
      <c r="AK205">
        <v>166</v>
      </c>
      <c r="AL205">
        <v>56</v>
      </c>
    </row>
    <row r="206" spans="6:38" x14ac:dyDescent="0.25">
      <c r="F206" s="36">
        <v>193</v>
      </c>
      <c r="G206">
        <v>216</v>
      </c>
      <c r="H206">
        <v>150</v>
      </c>
      <c r="I206">
        <v>111</v>
      </c>
      <c r="J206">
        <v>219</v>
      </c>
      <c r="K206">
        <v>221</v>
      </c>
      <c r="L206">
        <v>153</v>
      </c>
      <c r="M206">
        <v>21</v>
      </c>
      <c r="N206">
        <v>192</v>
      </c>
      <c r="O206">
        <v>83</v>
      </c>
      <c r="P206">
        <v>22</v>
      </c>
      <c r="Q206">
        <v>97</v>
      </c>
      <c r="R206">
        <v>129</v>
      </c>
      <c r="S206">
        <v>158</v>
      </c>
      <c r="T206">
        <v>189</v>
      </c>
      <c r="U206">
        <v>237</v>
      </c>
      <c r="V206">
        <v>53</v>
      </c>
      <c r="W206">
        <v>23</v>
      </c>
      <c r="X206">
        <v>73</v>
      </c>
      <c r="Y206">
        <v>177</v>
      </c>
      <c r="Z206">
        <v>254</v>
      </c>
      <c r="AA206">
        <v>64</v>
      </c>
      <c r="AB206">
        <v>141</v>
      </c>
      <c r="AC206">
        <v>189</v>
      </c>
      <c r="AD206">
        <v>140</v>
      </c>
      <c r="AE206">
        <v>110</v>
      </c>
      <c r="AF206">
        <v>147</v>
      </c>
      <c r="AG206">
        <v>239</v>
      </c>
      <c r="AH206">
        <v>186</v>
      </c>
      <c r="AI206">
        <v>253</v>
      </c>
      <c r="AJ206">
        <v>130</v>
      </c>
      <c r="AK206">
        <v>31</v>
      </c>
      <c r="AL206">
        <v>192</v>
      </c>
    </row>
    <row r="207" spans="6:38" x14ac:dyDescent="0.25">
      <c r="F207" s="36">
        <v>194</v>
      </c>
      <c r="G207">
        <v>140</v>
      </c>
      <c r="H207">
        <v>131</v>
      </c>
      <c r="I207">
        <v>88</v>
      </c>
      <c r="J207">
        <v>11</v>
      </c>
      <c r="K207">
        <v>53</v>
      </c>
      <c r="L207">
        <v>154</v>
      </c>
      <c r="M207">
        <v>38</v>
      </c>
      <c r="N207">
        <v>121</v>
      </c>
      <c r="O207">
        <v>91</v>
      </c>
      <c r="P207">
        <v>65</v>
      </c>
      <c r="Q207">
        <v>6</v>
      </c>
      <c r="R207">
        <v>224</v>
      </c>
      <c r="S207">
        <v>128</v>
      </c>
      <c r="T207">
        <v>16</v>
      </c>
      <c r="U207">
        <v>163</v>
      </c>
      <c r="V207">
        <v>130</v>
      </c>
      <c r="W207">
        <v>7</v>
      </c>
      <c r="X207">
        <v>24</v>
      </c>
      <c r="Y207">
        <v>101</v>
      </c>
      <c r="Z207">
        <v>26</v>
      </c>
      <c r="AA207">
        <v>87</v>
      </c>
      <c r="AB207">
        <v>250</v>
      </c>
      <c r="AC207">
        <v>3</v>
      </c>
      <c r="AD207">
        <v>9</v>
      </c>
      <c r="AE207">
        <v>50</v>
      </c>
      <c r="AF207">
        <v>77</v>
      </c>
      <c r="AG207">
        <v>242</v>
      </c>
      <c r="AH207">
        <v>8</v>
      </c>
      <c r="AI207">
        <v>117</v>
      </c>
      <c r="AJ207">
        <v>162</v>
      </c>
      <c r="AK207">
        <v>186</v>
      </c>
      <c r="AL207">
        <v>111</v>
      </c>
    </row>
    <row r="208" spans="6:38" x14ac:dyDescent="0.25">
      <c r="F208" s="36">
        <v>195</v>
      </c>
      <c r="G208">
        <v>159</v>
      </c>
      <c r="H208">
        <v>100</v>
      </c>
      <c r="I208">
        <v>182</v>
      </c>
      <c r="J208">
        <v>147</v>
      </c>
      <c r="K208">
        <v>150</v>
      </c>
      <c r="L208">
        <v>64</v>
      </c>
      <c r="M208">
        <v>73</v>
      </c>
      <c r="N208">
        <v>246</v>
      </c>
      <c r="O208">
        <v>128</v>
      </c>
      <c r="P208">
        <v>183</v>
      </c>
      <c r="Q208">
        <v>106</v>
      </c>
      <c r="R208">
        <v>127</v>
      </c>
      <c r="S208">
        <v>23</v>
      </c>
      <c r="T208">
        <v>231</v>
      </c>
      <c r="U208">
        <v>16</v>
      </c>
      <c r="V208">
        <v>138</v>
      </c>
      <c r="W208">
        <v>79</v>
      </c>
      <c r="X208">
        <v>118</v>
      </c>
      <c r="Y208">
        <v>193</v>
      </c>
      <c r="Z208">
        <v>36</v>
      </c>
      <c r="AA208">
        <v>153</v>
      </c>
      <c r="AB208">
        <v>173</v>
      </c>
      <c r="AC208">
        <v>73</v>
      </c>
      <c r="AD208">
        <v>217</v>
      </c>
      <c r="AE208">
        <v>139</v>
      </c>
      <c r="AF208">
        <v>43</v>
      </c>
      <c r="AG208">
        <v>126</v>
      </c>
      <c r="AH208">
        <v>14</v>
      </c>
      <c r="AI208">
        <v>119</v>
      </c>
      <c r="AJ208">
        <v>227</v>
      </c>
      <c r="AK208">
        <v>168</v>
      </c>
      <c r="AL208">
        <v>19</v>
      </c>
    </row>
    <row r="209" spans="6:38" x14ac:dyDescent="0.25">
      <c r="F209" s="36">
        <v>196</v>
      </c>
      <c r="G209">
        <v>35</v>
      </c>
      <c r="H209">
        <v>184</v>
      </c>
      <c r="I209">
        <v>254</v>
      </c>
      <c r="J209">
        <v>162</v>
      </c>
      <c r="K209">
        <v>185</v>
      </c>
      <c r="L209">
        <v>215</v>
      </c>
      <c r="M209">
        <v>134</v>
      </c>
      <c r="N209">
        <v>71</v>
      </c>
      <c r="O209">
        <v>167</v>
      </c>
      <c r="P209">
        <v>124</v>
      </c>
      <c r="Q209">
        <v>31</v>
      </c>
      <c r="R209">
        <v>144</v>
      </c>
      <c r="S209">
        <v>100</v>
      </c>
      <c r="T209">
        <v>197</v>
      </c>
      <c r="U209">
        <v>91</v>
      </c>
      <c r="V209">
        <v>17</v>
      </c>
      <c r="W209">
        <v>240</v>
      </c>
      <c r="X209">
        <v>42</v>
      </c>
      <c r="Y209">
        <v>228</v>
      </c>
      <c r="Z209">
        <v>223</v>
      </c>
      <c r="AA209">
        <v>106</v>
      </c>
      <c r="AB209">
        <v>119</v>
      </c>
      <c r="AC209">
        <v>130</v>
      </c>
      <c r="AD209">
        <v>92</v>
      </c>
      <c r="AE209">
        <v>251</v>
      </c>
      <c r="AF209">
        <v>23</v>
      </c>
      <c r="AG209">
        <v>57</v>
      </c>
      <c r="AH209">
        <v>116</v>
      </c>
      <c r="AI209">
        <v>221</v>
      </c>
      <c r="AJ209">
        <v>85</v>
      </c>
      <c r="AK209">
        <v>194</v>
      </c>
      <c r="AL209">
        <v>235</v>
      </c>
    </row>
    <row r="210" spans="6:38" x14ac:dyDescent="0.25">
      <c r="F210" s="36">
        <v>197</v>
      </c>
      <c r="G210">
        <v>83</v>
      </c>
      <c r="H210">
        <v>125</v>
      </c>
      <c r="I210">
        <v>75</v>
      </c>
      <c r="J210">
        <v>215</v>
      </c>
      <c r="K210">
        <v>87</v>
      </c>
      <c r="L210">
        <v>106</v>
      </c>
      <c r="M210">
        <v>204</v>
      </c>
      <c r="N210">
        <v>146</v>
      </c>
      <c r="O210">
        <v>16</v>
      </c>
      <c r="P210">
        <v>227</v>
      </c>
      <c r="Q210">
        <v>2</v>
      </c>
      <c r="R210">
        <v>207</v>
      </c>
      <c r="S210">
        <v>102</v>
      </c>
      <c r="T210">
        <v>39</v>
      </c>
      <c r="U210">
        <v>113</v>
      </c>
      <c r="V210">
        <v>174</v>
      </c>
      <c r="W210">
        <v>188</v>
      </c>
      <c r="X210">
        <v>205</v>
      </c>
      <c r="Y210">
        <v>94</v>
      </c>
      <c r="Z210">
        <v>74</v>
      </c>
      <c r="AA210">
        <v>234</v>
      </c>
      <c r="AB210">
        <v>58</v>
      </c>
      <c r="AC210">
        <v>56</v>
      </c>
      <c r="AD210">
        <v>75</v>
      </c>
      <c r="AE210">
        <v>203</v>
      </c>
      <c r="AF210">
        <v>126</v>
      </c>
      <c r="AG210">
        <v>200</v>
      </c>
      <c r="AH210">
        <v>124</v>
      </c>
      <c r="AI210">
        <v>62</v>
      </c>
      <c r="AJ210">
        <v>64</v>
      </c>
      <c r="AK210">
        <v>100</v>
      </c>
      <c r="AL210">
        <v>113</v>
      </c>
    </row>
    <row r="211" spans="6:38" x14ac:dyDescent="0.25">
      <c r="F211" s="36">
        <v>198</v>
      </c>
      <c r="G211">
        <v>116</v>
      </c>
      <c r="H211">
        <v>88</v>
      </c>
      <c r="I211">
        <v>51</v>
      </c>
      <c r="J211">
        <v>172</v>
      </c>
      <c r="K211">
        <v>242</v>
      </c>
      <c r="L211">
        <v>249</v>
      </c>
      <c r="M211">
        <v>27</v>
      </c>
      <c r="N211">
        <v>202</v>
      </c>
      <c r="O211">
        <v>225</v>
      </c>
      <c r="P211">
        <v>3</v>
      </c>
      <c r="Q211">
        <v>29</v>
      </c>
      <c r="R211">
        <v>72</v>
      </c>
      <c r="S211">
        <v>210</v>
      </c>
      <c r="T211">
        <v>133</v>
      </c>
      <c r="U211">
        <v>248</v>
      </c>
      <c r="V211">
        <v>169</v>
      </c>
      <c r="W211">
        <v>59</v>
      </c>
      <c r="X211">
        <v>51</v>
      </c>
      <c r="Y211">
        <v>114</v>
      </c>
      <c r="Z211">
        <v>169</v>
      </c>
      <c r="AA211">
        <v>161</v>
      </c>
      <c r="AB211">
        <v>209</v>
      </c>
      <c r="AC211">
        <v>7</v>
      </c>
      <c r="AD211">
        <v>48</v>
      </c>
      <c r="AE211">
        <v>5</v>
      </c>
      <c r="AF211">
        <v>98</v>
      </c>
      <c r="AG211">
        <v>145</v>
      </c>
      <c r="AH211">
        <v>12</v>
      </c>
      <c r="AI211">
        <v>5</v>
      </c>
      <c r="AJ211">
        <v>20</v>
      </c>
      <c r="AK211">
        <v>20</v>
      </c>
      <c r="AL211">
        <v>254</v>
      </c>
    </row>
    <row r="212" spans="6:38" x14ac:dyDescent="0.25">
      <c r="F212" s="36">
        <v>199</v>
      </c>
      <c r="G212">
        <v>133</v>
      </c>
      <c r="H212">
        <v>44</v>
      </c>
      <c r="I212">
        <v>241</v>
      </c>
      <c r="J212">
        <v>77</v>
      </c>
      <c r="K212">
        <v>194</v>
      </c>
      <c r="L212">
        <v>11</v>
      </c>
      <c r="M212">
        <v>76</v>
      </c>
      <c r="N212">
        <v>91</v>
      </c>
      <c r="O212">
        <v>142</v>
      </c>
      <c r="P212">
        <v>163</v>
      </c>
      <c r="Q212">
        <v>228</v>
      </c>
      <c r="R212">
        <v>230</v>
      </c>
      <c r="S212">
        <v>170</v>
      </c>
      <c r="T212">
        <v>205</v>
      </c>
      <c r="U212">
        <v>210</v>
      </c>
      <c r="V212">
        <v>220</v>
      </c>
      <c r="W212">
        <v>252</v>
      </c>
      <c r="X212">
        <v>102</v>
      </c>
      <c r="Y212">
        <v>249</v>
      </c>
      <c r="Z212">
        <v>130</v>
      </c>
      <c r="AA212">
        <v>138</v>
      </c>
      <c r="AB212">
        <v>47</v>
      </c>
      <c r="AC212">
        <v>31</v>
      </c>
      <c r="AD212">
        <v>51</v>
      </c>
      <c r="AE212">
        <v>218</v>
      </c>
      <c r="AF212">
        <v>191</v>
      </c>
      <c r="AG212">
        <v>96</v>
      </c>
      <c r="AH212">
        <v>90</v>
      </c>
      <c r="AI212">
        <v>111</v>
      </c>
      <c r="AJ212">
        <v>183</v>
      </c>
      <c r="AK212">
        <v>60</v>
      </c>
      <c r="AL212">
        <v>236</v>
      </c>
    </row>
    <row r="213" spans="6:38" x14ac:dyDescent="0.25">
      <c r="F213" s="36">
        <v>200</v>
      </c>
      <c r="G213">
        <v>252</v>
      </c>
      <c r="H213">
        <v>255</v>
      </c>
      <c r="I213">
        <v>156</v>
      </c>
      <c r="J213">
        <v>56</v>
      </c>
      <c r="K213">
        <v>108</v>
      </c>
      <c r="L213">
        <v>105</v>
      </c>
      <c r="M213">
        <v>182</v>
      </c>
      <c r="N213">
        <v>125</v>
      </c>
      <c r="O213">
        <v>19</v>
      </c>
      <c r="P213">
        <v>136</v>
      </c>
      <c r="Q213">
        <v>100</v>
      </c>
      <c r="R213">
        <v>183</v>
      </c>
      <c r="S213">
        <v>129</v>
      </c>
      <c r="T213">
        <v>172</v>
      </c>
      <c r="U213">
        <v>60</v>
      </c>
      <c r="V213">
        <v>97</v>
      </c>
      <c r="W213">
        <v>41</v>
      </c>
      <c r="X213">
        <v>95</v>
      </c>
      <c r="Y213">
        <v>2</v>
      </c>
      <c r="Z213">
        <v>133</v>
      </c>
      <c r="AA213">
        <v>90</v>
      </c>
      <c r="AB213">
        <v>210</v>
      </c>
      <c r="AC213">
        <v>132</v>
      </c>
      <c r="AD213">
        <v>45</v>
      </c>
      <c r="AE213">
        <v>225</v>
      </c>
      <c r="AF213">
        <v>32</v>
      </c>
      <c r="AG213">
        <v>200</v>
      </c>
      <c r="AH213">
        <v>214</v>
      </c>
      <c r="AI213">
        <v>188</v>
      </c>
      <c r="AJ213">
        <v>44</v>
      </c>
      <c r="AK213">
        <v>36</v>
      </c>
      <c r="AL213">
        <v>229</v>
      </c>
    </row>
    <row r="214" spans="6:38" x14ac:dyDescent="0.25">
      <c r="F214" s="36">
        <v>201</v>
      </c>
      <c r="G214">
        <v>249</v>
      </c>
      <c r="H214">
        <v>171</v>
      </c>
      <c r="I214">
        <v>208</v>
      </c>
      <c r="J214">
        <v>86</v>
      </c>
      <c r="K214">
        <v>214</v>
      </c>
      <c r="L214">
        <v>52</v>
      </c>
      <c r="M214">
        <v>126</v>
      </c>
      <c r="N214">
        <v>251</v>
      </c>
      <c r="O214">
        <v>133</v>
      </c>
      <c r="P214">
        <v>170</v>
      </c>
      <c r="Q214">
        <v>151</v>
      </c>
      <c r="R214">
        <v>70</v>
      </c>
      <c r="S214">
        <v>168</v>
      </c>
      <c r="T214">
        <v>171</v>
      </c>
      <c r="U214">
        <v>126</v>
      </c>
      <c r="V214">
        <v>161</v>
      </c>
      <c r="W214">
        <v>120</v>
      </c>
      <c r="X214">
        <v>140</v>
      </c>
      <c r="Y214">
        <v>231</v>
      </c>
      <c r="Z214">
        <v>51</v>
      </c>
      <c r="AA214">
        <v>209</v>
      </c>
      <c r="AB214">
        <v>42</v>
      </c>
      <c r="AC214">
        <v>125</v>
      </c>
      <c r="AD214">
        <v>146</v>
      </c>
      <c r="AE214">
        <v>239</v>
      </c>
      <c r="AF214">
        <v>202</v>
      </c>
      <c r="AG214">
        <v>77</v>
      </c>
      <c r="AH214">
        <v>101</v>
      </c>
      <c r="AI214">
        <v>159</v>
      </c>
      <c r="AJ214">
        <v>48</v>
      </c>
      <c r="AK214">
        <v>201</v>
      </c>
      <c r="AL214">
        <v>253</v>
      </c>
    </row>
    <row r="215" spans="6:38" x14ac:dyDescent="0.25">
      <c r="F215" s="36">
        <v>202</v>
      </c>
      <c r="G215">
        <v>184</v>
      </c>
      <c r="H215">
        <v>159</v>
      </c>
      <c r="I215">
        <v>6</v>
      </c>
      <c r="J215">
        <v>10</v>
      </c>
      <c r="K215">
        <v>134</v>
      </c>
      <c r="L215">
        <v>161</v>
      </c>
      <c r="M215">
        <v>7</v>
      </c>
      <c r="N215">
        <v>199</v>
      </c>
      <c r="O215">
        <v>85</v>
      </c>
      <c r="P215">
        <v>124</v>
      </c>
      <c r="Q215">
        <v>52</v>
      </c>
      <c r="R215">
        <v>218</v>
      </c>
      <c r="S215">
        <v>24</v>
      </c>
      <c r="T215">
        <v>8</v>
      </c>
      <c r="U215">
        <v>135</v>
      </c>
      <c r="V215">
        <v>52</v>
      </c>
      <c r="W215">
        <v>51</v>
      </c>
      <c r="X215">
        <v>185</v>
      </c>
      <c r="Y215">
        <v>240</v>
      </c>
      <c r="Z215">
        <v>67</v>
      </c>
      <c r="AA215">
        <v>251</v>
      </c>
      <c r="AB215">
        <v>150</v>
      </c>
      <c r="AC215">
        <v>3</v>
      </c>
      <c r="AD215">
        <v>144</v>
      </c>
      <c r="AE215">
        <v>145</v>
      </c>
      <c r="AF215">
        <v>233</v>
      </c>
      <c r="AG215">
        <v>233</v>
      </c>
      <c r="AH215">
        <v>205</v>
      </c>
      <c r="AI215">
        <v>104</v>
      </c>
      <c r="AJ215">
        <v>171</v>
      </c>
      <c r="AK215">
        <v>64</v>
      </c>
      <c r="AL215">
        <v>114</v>
      </c>
    </row>
    <row r="216" spans="6:38" x14ac:dyDescent="0.25">
      <c r="F216" s="36">
        <v>203</v>
      </c>
      <c r="G216">
        <v>254</v>
      </c>
      <c r="H216">
        <v>201</v>
      </c>
      <c r="I216">
        <v>228</v>
      </c>
      <c r="J216">
        <v>166</v>
      </c>
      <c r="K216">
        <v>65</v>
      </c>
      <c r="L216">
        <v>229</v>
      </c>
      <c r="M216">
        <v>123</v>
      </c>
      <c r="N216">
        <v>31</v>
      </c>
      <c r="O216">
        <v>142</v>
      </c>
      <c r="P216">
        <v>2</v>
      </c>
      <c r="Q216">
        <v>53</v>
      </c>
      <c r="R216">
        <v>226</v>
      </c>
      <c r="S216">
        <v>55</v>
      </c>
      <c r="T216">
        <v>75</v>
      </c>
      <c r="U216">
        <v>15</v>
      </c>
      <c r="V216">
        <v>63</v>
      </c>
      <c r="W216">
        <v>14</v>
      </c>
      <c r="X216">
        <v>51</v>
      </c>
      <c r="Y216">
        <v>112</v>
      </c>
      <c r="Z216">
        <v>198</v>
      </c>
      <c r="AA216">
        <v>176</v>
      </c>
      <c r="AB216">
        <v>206</v>
      </c>
      <c r="AC216">
        <v>45</v>
      </c>
      <c r="AD216">
        <v>214</v>
      </c>
      <c r="AE216">
        <v>125</v>
      </c>
      <c r="AF216">
        <v>198</v>
      </c>
      <c r="AG216">
        <v>149</v>
      </c>
      <c r="AH216">
        <v>74</v>
      </c>
      <c r="AI216">
        <v>14</v>
      </c>
      <c r="AJ216">
        <v>45</v>
      </c>
      <c r="AK216">
        <v>41</v>
      </c>
      <c r="AL216">
        <v>154</v>
      </c>
    </row>
    <row r="217" spans="6:38" x14ac:dyDescent="0.25">
      <c r="F217" s="36">
        <v>204</v>
      </c>
      <c r="G217">
        <v>23</v>
      </c>
      <c r="H217">
        <v>172</v>
      </c>
      <c r="I217">
        <v>159</v>
      </c>
      <c r="J217">
        <v>203</v>
      </c>
      <c r="K217">
        <v>101</v>
      </c>
      <c r="L217">
        <v>99</v>
      </c>
      <c r="M217">
        <v>122</v>
      </c>
      <c r="N217">
        <v>237</v>
      </c>
      <c r="O217">
        <v>0</v>
      </c>
      <c r="P217">
        <v>65</v>
      </c>
      <c r="Q217">
        <v>57</v>
      </c>
      <c r="R217">
        <v>28</v>
      </c>
      <c r="S217">
        <v>239</v>
      </c>
      <c r="T217">
        <v>20</v>
      </c>
      <c r="U217">
        <v>169</v>
      </c>
      <c r="V217">
        <v>179</v>
      </c>
      <c r="W217">
        <v>5</v>
      </c>
      <c r="X217">
        <v>213</v>
      </c>
      <c r="Y217">
        <v>142</v>
      </c>
      <c r="Z217">
        <v>82</v>
      </c>
      <c r="AA217">
        <v>159</v>
      </c>
      <c r="AB217">
        <v>234</v>
      </c>
      <c r="AC217">
        <v>229</v>
      </c>
      <c r="AD217">
        <v>59</v>
      </c>
      <c r="AE217">
        <v>220</v>
      </c>
      <c r="AF217">
        <v>192</v>
      </c>
      <c r="AG217">
        <v>101</v>
      </c>
      <c r="AH217">
        <v>20</v>
      </c>
      <c r="AI217">
        <v>179</v>
      </c>
      <c r="AJ217">
        <v>3</v>
      </c>
      <c r="AK217">
        <v>7</v>
      </c>
      <c r="AL217">
        <v>41</v>
      </c>
    </row>
    <row r="218" spans="6:38" x14ac:dyDescent="0.25">
      <c r="F218" s="36">
        <v>205</v>
      </c>
      <c r="G218">
        <v>249</v>
      </c>
      <c r="H218">
        <v>238</v>
      </c>
      <c r="I218">
        <v>190</v>
      </c>
      <c r="J218">
        <v>116</v>
      </c>
      <c r="K218">
        <v>94</v>
      </c>
      <c r="L218">
        <v>123</v>
      </c>
      <c r="M218">
        <v>232</v>
      </c>
      <c r="N218">
        <v>177</v>
      </c>
      <c r="O218">
        <v>68</v>
      </c>
      <c r="P218">
        <v>20</v>
      </c>
      <c r="Q218">
        <v>113</v>
      </c>
      <c r="R218">
        <v>40</v>
      </c>
      <c r="S218">
        <v>180</v>
      </c>
      <c r="T218">
        <v>249</v>
      </c>
      <c r="U218">
        <v>14</v>
      </c>
      <c r="V218">
        <v>5</v>
      </c>
      <c r="W218">
        <v>249</v>
      </c>
      <c r="X218">
        <v>152</v>
      </c>
      <c r="Y218">
        <v>127</v>
      </c>
      <c r="Z218">
        <v>121</v>
      </c>
      <c r="AA218">
        <v>14</v>
      </c>
      <c r="AB218">
        <v>220</v>
      </c>
      <c r="AC218">
        <v>54</v>
      </c>
      <c r="AD218">
        <v>220</v>
      </c>
      <c r="AE218">
        <v>117</v>
      </c>
      <c r="AF218">
        <v>61</v>
      </c>
      <c r="AG218">
        <v>65</v>
      </c>
      <c r="AH218">
        <v>235</v>
      </c>
      <c r="AI218">
        <v>166</v>
      </c>
      <c r="AJ218">
        <v>109</v>
      </c>
      <c r="AK218">
        <v>89</v>
      </c>
      <c r="AL218">
        <v>125</v>
      </c>
    </row>
    <row r="219" spans="6:38" x14ac:dyDescent="0.25">
      <c r="F219" s="36">
        <v>206</v>
      </c>
      <c r="G219">
        <v>124</v>
      </c>
      <c r="H219">
        <v>73</v>
      </c>
      <c r="I219">
        <v>61</v>
      </c>
      <c r="J219">
        <v>181</v>
      </c>
      <c r="K219">
        <v>155</v>
      </c>
      <c r="L219">
        <v>103</v>
      </c>
      <c r="M219">
        <v>119</v>
      </c>
      <c r="N219">
        <v>132</v>
      </c>
      <c r="O219">
        <v>163</v>
      </c>
      <c r="P219">
        <v>191</v>
      </c>
      <c r="Q219">
        <v>35</v>
      </c>
      <c r="R219">
        <v>58</v>
      </c>
      <c r="S219">
        <v>245</v>
      </c>
      <c r="T219">
        <v>89</v>
      </c>
      <c r="U219">
        <v>170</v>
      </c>
      <c r="V219">
        <v>129</v>
      </c>
      <c r="W219">
        <v>200</v>
      </c>
      <c r="X219">
        <v>244</v>
      </c>
      <c r="Y219">
        <v>76</v>
      </c>
      <c r="Z219">
        <v>45</v>
      </c>
      <c r="AA219">
        <v>230</v>
      </c>
      <c r="AB219">
        <v>189</v>
      </c>
      <c r="AC219">
        <v>3</v>
      </c>
      <c r="AD219">
        <v>185</v>
      </c>
      <c r="AE219">
        <v>21</v>
      </c>
      <c r="AF219">
        <v>217</v>
      </c>
      <c r="AG219">
        <v>93</v>
      </c>
      <c r="AH219">
        <v>174</v>
      </c>
      <c r="AI219">
        <v>127</v>
      </c>
      <c r="AJ219">
        <v>10</v>
      </c>
      <c r="AK219">
        <v>152</v>
      </c>
      <c r="AL219">
        <v>179</v>
      </c>
    </row>
    <row r="220" spans="6:38" x14ac:dyDescent="0.25">
      <c r="F220" s="36">
        <v>207</v>
      </c>
      <c r="G220">
        <v>97</v>
      </c>
      <c r="H220">
        <v>179</v>
      </c>
      <c r="I220">
        <v>130</v>
      </c>
      <c r="J220">
        <v>0</v>
      </c>
      <c r="K220">
        <v>23</v>
      </c>
      <c r="L220">
        <v>123</v>
      </c>
      <c r="M220">
        <v>145</v>
      </c>
      <c r="N220">
        <v>255</v>
      </c>
      <c r="O220">
        <v>157</v>
      </c>
      <c r="P220">
        <v>160</v>
      </c>
      <c r="Q220">
        <v>147</v>
      </c>
      <c r="R220">
        <v>213</v>
      </c>
      <c r="S220">
        <v>166</v>
      </c>
      <c r="T220">
        <v>110</v>
      </c>
      <c r="U220">
        <v>175</v>
      </c>
      <c r="V220">
        <v>131</v>
      </c>
      <c r="W220">
        <v>248</v>
      </c>
      <c r="X220">
        <v>219</v>
      </c>
      <c r="Y220">
        <v>198</v>
      </c>
      <c r="Z220">
        <v>80</v>
      </c>
      <c r="AA220">
        <v>240</v>
      </c>
      <c r="AB220">
        <v>69</v>
      </c>
      <c r="AC220">
        <v>234</v>
      </c>
      <c r="AD220">
        <v>4</v>
      </c>
      <c r="AE220">
        <v>99</v>
      </c>
      <c r="AF220">
        <v>114</v>
      </c>
      <c r="AG220">
        <v>233</v>
      </c>
      <c r="AH220">
        <v>228</v>
      </c>
      <c r="AI220">
        <v>144</v>
      </c>
      <c r="AJ220">
        <v>108</v>
      </c>
      <c r="AK220">
        <v>4</v>
      </c>
      <c r="AL220">
        <v>143</v>
      </c>
    </row>
    <row r="221" spans="6:38" x14ac:dyDescent="0.25">
      <c r="F221" s="36">
        <v>208</v>
      </c>
      <c r="G221">
        <v>211</v>
      </c>
      <c r="H221">
        <v>97</v>
      </c>
      <c r="I221">
        <v>61</v>
      </c>
      <c r="J221">
        <v>206</v>
      </c>
      <c r="K221">
        <v>122</v>
      </c>
      <c r="L221">
        <v>135</v>
      </c>
      <c r="M221">
        <v>252</v>
      </c>
      <c r="N221">
        <v>104</v>
      </c>
      <c r="O221">
        <v>28</v>
      </c>
      <c r="P221">
        <v>113</v>
      </c>
      <c r="Q221">
        <v>59</v>
      </c>
      <c r="R221">
        <v>46</v>
      </c>
      <c r="S221">
        <v>24</v>
      </c>
      <c r="T221">
        <v>44</v>
      </c>
      <c r="U221">
        <v>185</v>
      </c>
      <c r="V221">
        <v>68</v>
      </c>
      <c r="W221">
        <v>80</v>
      </c>
      <c r="X221">
        <v>82</v>
      </c>
      <c r="Y221">
        <v>221</v>
      </c>
      <c r="Z221">
        <v>190</v>
      </c>
      <c r="AA221">
        <v>156</v>
      </c>
      <c r="AB221">
        <v>131</v>
      </c>
      <c r="AC221">
        <v>79</v>
      </c>
      <c r="AD221">
        <v>79</v>
      </c>
      <c r="AE221">
        <v>235</v>
      </c>
      <c r="AF221">
        <v>157</v>
      </c>
      <c r="AG221">
        <v>234</v>
      </c>
      <c r="AH221">
        <v>5</v>
      </c>
      <c r="AI221">
        <v>234</v>
      </c>
      <c r="AJ221">
        <v>11</v>
      </c>
      <c r="AK221">
        <v>36</v>
      </c>
      <c r="AL221">
        <v>97</v>
      </c>
    </row>
    <row r="222" spans="6:38" x14ac:dyDescent="0.25">
      <c r="F222" s="36">
        <v>209</v>
      </c>
      <c r="G222">
        <v>92</v>
      </c>
      <c r="H222">
        <v>143</v>
      </c>
      <c r="I222">
        <v>174</v>
      </c>
      <c r="J222">
        <v>216</v>
      </c>
      <c r="K222">
        <v>253</v>
      </c>
      <c r="L222">
        <v>226</v>
      </c>
      <c r="M222">
        <v>243</v>
      </c>
      <c r="N222">
        <v>69</v>
      </c>
      <c r="O222">
        <v>10</v>
      </c>
      <c r="P222">
        <v>47</v>
      </c>
      <c r="Q222">
        <v>170</v>
      </c>
      <c r="R222">
        <v>151</v>
      </c>
      <c r="S222">
        <v>243</v>
      </c>
      <c r="T222">
        <v>151</v>
      </c>
      <c r="U222">
        <v>133</v>
      </c>
      <c r="V222">
        <v>0</v>
      </c>
      <c r="W222">
        <v>24</v>
      </c>
      <c r="X222">
        <v>191</v>
      </c>
      <c r="Y222">
        <v>81</v>
      </c>
      <c r="Z222">
        <v>168</v>
      </c>
      <c r="AA222">
        <v>17</v>
      </c>
      <c r="AB222">
        <v>136</v>
      </c>
      <c r="AC222">
        <v>98</v>
      </c>
      <c r="AD222">
        <v>67</v>
      </c>
      <c r="AE222">
        <v>209</v>
      </c>
      <c r="AF222">
        <v>218</v>
      </c>
      <c r="AG222">
        <v>128</v>
      </c>
      <c r="AH222">
        <v>169</v>
      </c>
      <c r="AI222">
        <v>111</v>
      </c>
      <c r="AJ222">
        <v>255</v>
      </c>
      <c r="AK222">
        <v>199</v>
      </c>
      <c r="AL222">
        <v>40</v>
      </c>
    </row>
    <row r="223" spans="6:38" x14ac:dyDescent="0.25">
      <c r="F223" s="36">
        <v>210</v>
      </c>
      <c r="G223">
        <v>72</v>
      </c>
      <c r="H223">
        <v>133</v>
      </c>
      <c r="I223">
        <v>172</v>
      </c>
      <c r="J223">
        <v>233</v>
      </c>
      <c r="K223">
        <v>73</v>
      </c>
      <c r="L223">
        <v>84</v>
      </c>
      <c r="M223">
        <v>195</v>
      </c>
      <c r="N223">
        <v>151</v>
      </c>
      <c r="O223">
        <v>249</v>
      </c>
      <c r="P223">
        <v>148</v>
      </c>
      <c r="Q223">
        <v>230</v>
      </c>
      <c r="R223">
        <v>1</v>
      </c>
      <c r="S223">
        <v>175</v>
      </c>
      <c r="T223">
        <v>245</v>
      </c>
      <c r="U223">
        <v>41</v>
      </c>
      <c r="V223">
        <v>92</v>
      </c>
      <c r="W223">
        <v>255</v>
      </c>
      <c r="X223">
        <v>44</v>
      </c>
      <c r="Y223">
        <v>242</v>
      </c>
      <c r="Z223">
        <v>146</v>
      </c>
      <c r="AA223">
        <v>221</v>
      </c>
      <c r="AB223">
        <v>243</v>
      </c>
      <c r="AC223">
        <v>5</v>
      </c>
      <c r="AD223">
        <v>13</v>
      </c>
      <c r="AE223">
        <v>76</v>
      </c>
      <c r="AF223">
        <v>94</v>
      </c>
      <c r="AG223">
        <v>254</v>
      </c>
      <c r="AH223">
        <v>138</v>
      </c>
      <c r="AI223">
        <v>94</v>
      </c>
      <c r="AJ223">
        <v>201</v>
      </c>
      <c r="AK223">
        <v>64</v>
      </c>
      <c r="AL223">
        <v>9</v>
      </c>
    </row>
    <row r="224" spans="6:38" x14ac:dyDescent="0.25">
      <c r="F224" s="36">
        <v>211</v>
      </c>
      <c r="G224">
        <v>115</v>
      </c>
      <c r="H224">
        <v>113</v>
      </c>
      <c r="I224">
        <v>151</v>
      </c>
      <c r="J224">
        <v>202</v>
      </c>
      <c r="K224">
        <v>196</v>
      </c>
      <c r="L224">
        <v>66</v>
      </c>
      <c r="M224">
        <v>219</v>
      </c>
      <c r="N224">
        <v>171</v>
      </c>
      <c r="O224">
        <v>129</v>
      </c>
      <c r="P224">
        <v>114</v>
      </c>
      <c r="Q224">
        <v>193</v>
      </c>
      <c r="R224">
        <v>98</v>
      </c>
      <c r="S224">
        <v>184</v>
      </c>
      <c r="T224">
        <v>118</v>
      </c>
      <c r="U224">
        <v>1</v>
      </c>
      <c r="V224">
        <v>193</v>
      </c>
      <c r="W224">
        <v>181</v>
      </c>
      <c r="X224">
        <v>221</v>
      </c>
      <c r="Y224">
        <v>142</v>
      </c>
      <c r="Z224">
        <v>140</v>
      </c>
      <c r="AA224">
        <v>128</v>
      </c>
      <c r="AB224">
        <v>153</v>
      </c>
      <c r="AC224">
        <v>237</v>
      </c>
      <c r="AD224">
        <v>188</v>
      </c>
      <c r="AE224">
        <v>109</v>
      </c>
      <c r="AF224">
        <v>91</v>
      </c>
      <c r="AG224">
        <v>151</v>
      </c>
      <c r="AH224">
        <v>72</v>
      </c>
      <c r="AI224">
        <v>185</v>
      </c>
      <c r="AJ224">
        <v>55</v>
      </c>
      <c r="AK224">
        <v>173</v>
      </c>
      <c r="AL224">
        <v>47</v>
      </c>
    </row>
    <row r="225" spans="6:38" x14ac:dyDescent="0.25">
      <c r="F225" s="36">
        <v>212</v>
      </c>
      <c r="G225">
        <v>77</v>
      </c>
      <c r="H225">
        <v>252</v>
      </c>
      <c r="I225">
        <v>16</v>
      </c>
      <c r="J225">
        <v>148</v>
      </c>
      <c r="K225">
        <v>219</v>
      </c>
      <c r="L225">
        <v>5</v>
      </c>
      <c r="M225">
        <v>93</v>
      </c>
      <c r="N225">
        <v>240</v>
      </c>
      <c r="O225">
        <v>142</v>
      </c>
      <c r="P225">
        <v>79</v>
      </c>
      <c r="Q225">
        <v>167</v>
      </c>
      <c r="R225">
        <v>134</v>
      </c>
      <c r="S225">
        <v>166</v>
      </c>
      <c r="T225">
        <v>93</v>
      </c>
      <c r="U225">
        <v>199</v>
      </c>
      <c r="V225">
        <v>164</v>
      </c>
      <c r="W225">
        <v>20</v>
      </c>
      <c r="X225">
        <v>209</v>
      </c>
      <c r="Y225">
        <v>159</v>
      </c>
      <c r="Z225">
        <v>226</v>
      </c>
      <c r="AA225">
        <v>136</v>
      </c>
      <c r="AB225">
        <v>121</v>
      </c>
      <c r="AC225">
        <v>159</v>
      </c>
      <c r="AD225">
        <v>108</v>
      </c>
      <c r="AE225">
        <v>164</v>
      </c>
      <c r="AF225">
        <v>236</v>
      </c>
      <c r="AG225">
        <v>57</v>
      </c>
      <c r="AH225">
        <v>88</v>
      </c>
      <c r="AI225">
        <v>55</v>
      </c>
      <c r="AJ225">
        <v>194</v>
      </c>
      <c r="AK225">
        <v>61</v>
      </c>
      <c r="AL225">
        <v>243</v>
      </c>
    </row>
    <row r="226" spans="6:38" x14ac:dyDescent="0.25">
      <c r="F226" s="36">
        <v>213</v>
      </c>
      <c r="G226">
        <v>254</v>
      </c>
      <c r="H226">
        <v>243</v>
      </c>
      <c r="I226">
        <v>208</v>
      </c>
      <c r="J226">
        <v>237</v>
      </c>
      <c r="K226">
        <v>217</v>
      </c>
      <c r="L226">
        <v>116</v>
      </c>
      <c r="M226">
        <v>212</v>
      </c>
      <c r="N226">
        <v>15</v>
      </c>
      <c r="O226">
        <v>45</v>
      </c>
      <c r="P226">
        <v>18</v>
      </c>
      <c r="Q226">
        <v>78</v>
      </c>
      <c r="R226">
        <v>211</v>
      </c>
      <c r="S226">
        <v>77</v>
      </c>
      <c r="T226">
        <v>107</v>
      </c>
      <c r="U226">
        <v>27</v>
      </c>
      <c r="V226">
        <v>179</v>
      </c>
      <c r="W226">
        <v>228</v>
      </c>
      <c r="X226">
        <v>195</v>
      </c>
      <c r="Y226">
        <v>170</v>
      </c>
      <c r="Z226">
        <v>160</v>
      </c>
      <c r="AA226">
        <v>57</v>
      </c>
      <c r="AB226">
        <v>151</v>
      </c>
      <c r="AC226">
        <v>17</v>
      </c>
      <c r="AD226">
        <v>158</v>
      </c>
      <c r="AE226">
        <v>90</v>
      </c>
      <c r="AF226">
        <v>56</v>
      </c>
      <c r="AG226">
        <v>152</v>
      </c>
      <c r="AH226">
        <v>147</v>
      </c>
      <c r="AI226">
        <v>202</v>
      </c>
      <c r="AJ226">
        <v>13</v>
      </c>
      <c r="AK226">
        <v>13</v>
      </c>
      <c r="AL226">
        <v>234</v>
      </c>
    </row>
    <row r="227" spans="6:38" x14ac:dyDescent="0.25">
      <c r="F227" s="36">
        <v>214</v>
      </c>
      <c r="G227">
        <v>39</v>
      </c>
      <c r="H227">
        <v>28</v>
      </c>
      <c r="I227">
        <v>67</v>
      </c>
      <c r="J227">
        <v>1</v>
      </c>
      <c r="K227">
        <v>106</v>
      </c>
      <c r="L227">
        <v>62</v>
      </c>
      <c r="M227">
        <v>191</v>
      </c>
      <c r="N227">
        <v>74</v>
      </c>
      <c r="O227">
        <v>171</v>
      </c>
      <c r="P227">
        <v>171</v>
      </c>
      <c r="Q227">
        <v>243</v>
      </c>
      <c r="R227">
        <v>150</v>
      </c>
      <c r="S227">
        <v>169</v>
      </c>
      <c r="T227">
        <v>169</v>
      </c>
      <c r="U227">
        <v>150</v>
      </c>
      <c r="V227">
        <v>15</v>
      </c>
      <c r="W227">
        <v>144</v>
      </c>
      <c r="X227">
        <v>110</v>
      </c>
      <c r="Y227">
        <v>207</v>
      </c>
      <c r="Z227">
        <v>136</v>
      </c>
      <c r="AA227">
        <v>212</v>
      </c>
      <c r="AB227">
        <v>190</v>
      </c>
      <c r="AC227">
        <v>93</v>
      </c>
      <c r="AD227">
        <v>10</v>
      </c>
      <c r="AE227">
        <v>239</v>
      </c>
      <c r="AF227">
        <v>15</v>
      </c>
      <c r="AG227">
        <v>238</v>
      </c>
      <c r="AH227">
        <v>94</v>
      </c>
      <c r="AI227">
        <v>242</v>
      </c>
      <c r="AJ227">
        <v>222</v>
      </c>
      <c r="AK227">
        <v>105</v>
      </c>
      <c r="AL227">
        <v>104</v>
      </c>
    </row>
    <row r="228" spans="6:38" x14ac:dyDescent="0.25">
      <c r="F228" s="36">
        <v>215</v>
      </c>
      <c r="G228">
        <v>134</v>
      </c>
      <c r="H228">
        <v>37</v>
      </c>
      <c r="I228">
        <v>174</v>
      </c>
      <c r="J228">
        <v>176</v>
      </c>
      <c r="K228">
        <v>211</v>
      </c>
      <c r="L228">
        <v>89</v>
      </c>
      <c r="M228">
        <v>224</v>
      </c>
      <c r="N228">
        <v>182</v>
      </c>
      <c r="O228">
        <v>17</v>
      </c>
      <c r="P228">
        <v>203</v>
      </c>
      <c r="Q228">
        <v>77</v>
      </c>
      <c r="R228">
        <v>102</v>
      </c>
      <c r="S228">
        <v>254</v>
      </c>
      <c r="T228">
        <v>215</v>
      </c>
      <c r="U228">
        <v>199</v>
      </c>
      <c r="V228">
        <v>38</v>
      </c>
      <c r="W228">
        <v>176</v>
      </c>
      <c r="X228">
        <v>77</v>
      </c>
      <c r="Y228">
        <v>172</v>
      </c>
      <c r="Z228">
        <v>115</v>
      </c>
      <c r="AA228">
        <v>222</v>
      </c>
      <c r="AB228">
        <v>72</v>
      </c>
      <c r="AC228">
        <v>251</v>
      </c>
      <c r="AD228">
        <v>179</v>
      </c>
      <c r="AE228">
        <v>96</v>
      </c>
      <c r="AF228">
        <v>24</v>
      </c>
      <c r="AG228">
        <v>45</v>
      </c>
      <c r="AH228">
        <v>198</v>
      </c>
      <c r="AI228">
        <v>25</v>
      </c>
      <c r="AJ228">
        <v>234</v>
      </c>
      <c r="AK228">
        <v>208</v>
      </c>
      <c r="AL228">
        <v>9</v>
      </c>
    </row>
    <row r="229" spans="6:38" x14ac:dyDescent="0.25">
      <c r="F229" s="36">
        <v>216</v>
      </c>
      <c r="G229">
        <v>16</v>
      </c>
      <c r="H229">
        <v>180</v>
      </c>
      <c r="I229">
        <v>155</v>
      </c>
      <c r="J229">
        <v>141</v>
      </c>
      <c r="K229">
        <v>181</v>
      </c>
      <c r="L229">
        <v>238</v>
      </c>
      <c r="M229">
        <v>136</v>
      </c>
      <c r="N229">
        <v>248</v>
      </c>
      <c r="O229">
        <v>199</v>
      </c>
      <c r="P229">
        <v>17</v>
      </c>
      <c r="Q229">
        <v>122</v>
      </c>
      <c r="R229">
        <v>155</v>
      </c>
      <c r="S229">
        <v>16</v>
      </c>
      <c r="T229">
        <v>212</v>
      </c>
      <c r="U229">
        <v>80</v>
      </c>
      <c r="V229">
        <v>164</v>
      </c>
      <c r="W229">
        <v>101</v>
      </c>
      <c r="X229">
        <v>240</v>
      </c>
      <c r="Y229">
        <v>219</v>
      </c>
      <c r="Z229">
        <v>37</v>
      </c>
      <c r="AA229">
        <v>134</v>
      </c>
      <c r="AB229">
        <v>169</v>
      </c>
      <c r="AC229">
        <v>32</v>
      </c>
      <c r="AD229">
        <v>204</v>
      </c>
      <c r="AE229">
        <v>78</v>
      </c>
      <c r="AF229">
        <v>244</v>
      </c>
      <c r="AG229">
        <v>96</v>
      </c>
      <c r="AH229">
        <v>44</v>
      </c>
      <c r="AI229">
        <v>136</v>
      </c>
      <c r="AJ229">
        <v>163</v>
      </c>
      <c r="AK229">
        <v>139</v>
      </c>
      <c r="AL229">
        <v>135</v>
      </c>
    </row>
    <row r="230" spans="6:38" x14ac:dyDescent="0.25">
      <c r="F230" s="36">
        <v>217</v>
      </c>
      <c r="G230">
        <v>218</v>
      </c>
      <c r="H230">
        <v>17</v>
      </c>
      <c r="I230">
        <v>125</v>
      </c>
      <c r="J230">
        <v>234</v>
      </c>
      <c r="K230">
        <v>216</v>
      </c>
      <c r="L230">
        <v>249</v>
      </c>
      <c r="M230">
        <v>154</v>
      </c>
      <c r="N230">
        <v>112</v>
      </c>
      <c r="O230">
        <v>95</v>
      </c>
      <c r="P230">
        <v>165</v>
      </c>
      <c r="Q230">
        <v>78</v>
      </c>
      <c r="R230">
        <v>180</v>
      </c>
      <c r="S230">
        <v>184</v>
      </c>
      <c r="T230">
        <v>199</v>
      </c>
      <c r="U230">
        <v>155</v>
      </c>
      <c r="V230">
        <v>65</v>
      </c>
      <c r="W230">
        <v>122</v>
      </c>
      <c r="X230">
        <v>1</v>
      </c>
      <c r="Y230">
        <v>179</v>
      </c>
      <c r="Z230">
        <v>183</v>
      </c>
      <c r="AA230">
        <v>222</v>
      </c>
      <c r="AB230">
        <v>117</v>
      </c>
      <c r="AC230">
        <v>140</v>
      </c>
      <c r="AD230">
        <v>239</v>
      </c>
      <c r="AE230">
        <v>126</v>
      </c>
      <c r="AF230">
        <v>18</v>
      </c>
      <c r="AG230">
        <v>193</v>
      </c>
      <c r="AH230">
        <v>94</v>
      </c>
      <c r="AI230">
        <v>18</v>
      </c>
      <c r="AJ230">
        <v>21</v>
      </c>
      <c r="AK230">
        <v>85</v>
      </c>
      <c r="AL230">
        <v>1</v>
      </c>
    </row>
    <row r="231" spans="6:38" x14ac:dyDescent="0.25">
      <c r="F231" s="36">
        <v>218</v>
      </c>
      <c r="G231">
        <v>215</v>
      </c>
      <c r="H231">
        <v>134</v>
      </c>
      <c r="I231">
        <v>102</v>
      </c>
      <c r="J231">
        <v>21</v>
      </c>
      <c r="K231">
        <v>19</v>
      </c>
      <c r="L231">
        <v>114</v>
      </c>
      <c r="M231">
        <v>160</v>
      </c>
      <c r="N231">
        <v>153</v>
      </c>
      <c r="O231">
        <v>130</v>
      </c>
      <c r="P231">
        <v>147</v>
      </c>
      <c r="Q231">
        <v>137</v>
      </c>
      <c r="R231">
        <v>91</v>
      </c>
      <c r="S231">
        <v>106</v>
      </c>
      <c r="T231">
        <v>83</v>
      </c>
      <c r="U231">
        <v>122</v>
      </c>
      <c r="V231">
        <v>180</v>
      </c>
      <c r="W231">
        <v>79</v>
      </c>
      <c r="X231">
        <v>255</v>
      </c>
      <c r="Y231">
        <v>196</v>
      </c>
      <c r="Z231">
        <v>200</v>
      </c>
      <c r="AA231">
        <v>41</v>
      </c>
      <c r="AB231">
        <v>68</v>
      </c>
      <c r="AC231">
        <v>101</v>
      </c>
      <c r="AD231">
        <v>210</v>
      </c>
      <c r="AE231">
        <v>234</v>
      </c>
      <c r="AF231">
        <v>3</v>
      </c>
      <c r="AG231">
        <v>171</v>
      </c>
      <c r="AH231">
        <v>173</v>
      </c>
      <c r="AI231">
        <v>186</v>
      </c>
      <c r="AJ231">
        <v>42</v>
      </c>
      <c r="AK231">
        <v>25</v>
      </c>
      <c r="AL231">
        <v>70</v>
      </c>
    </row>
    <row r="232" spans="6:38" x14ac:dyDescent="0.25">
      <c r="F232" s="36">
        <v>219</v>
      </c>
      <c r="G232">
        <v>152</v>
      </c>
      <c r="H232">
        <v>114</v>
      </c>
      <c r="I232">
        <v>150</v>
      </c>
      <c r="J232">
        <v>48</v>
      </c>
      <c r="K232">
        <v>141</v>
      </c>
      <c r="L232">
        <v>4</v>
      </c>
      <c r="M232">
        <v>14</v>
      </c>
      <c r="N232">
        <v>183</v>
      </c>
      <c r="O232">
        <v>205</v>
      </c>
      <c r="P232">
        <v>177</v>
      </c>
      <c r="Q232">
        <v>254</v>
      </c>
      <c r="R232">
        <v>46</v>
      </c>
      <c r="S232">
        <v>216</v>
      </c>
      <c r="T232">
        <v>138</v>
      </c>
      <c r="U232">
        <v>201</v>
      </c>
      <c r="V232">
        <v>121</v>
      </c>
      <c r="W232">
        <v>14</v>
      </c>
      <c r="X232">
        <v>105</v>
      </c>
      <c r="Y232">
        <v>132</v>
      </c>
      <c r="Z232">
        <v>9</v>
      </c>
      <c r="AA232">
        <v>232</v>
      </c>
      <c r="AB232">
        <v>158</v>
      </c>
      <c r="AC232">
        <v>238</v>
      </c>
      <c r="AD232">
        <v>68</v>
      </c>
      <c r="AE232">
        <v>49</v>
      </c>
      <c r="AF232">
        <v>127</v>
      </c>
      <c r="AG232">
        <v>117</v>
      </c>
      <c r="AH232">
        <v>41</v>
      </c>
      <c r="AI232">
        <v>198</v>
      </c>
      <c r="AJ232">
        <v>222</v>
      </c>
      <c r="AK232">
        <v>201</v>
      </c>
      <c r="AL232">
        <v>170</v>
      </c>
    </row>
    <row r="233" spans="6:38" x14ac:dyDescent="0.25">
      <c r="F233" s="36">
        <v>220</v>
      </c>
      <c r="G233">
        <v>219</v>
      </c>
      <c r="H233">
        <v>70</v>
      </c>
      <c r="I233">
        <v>13</v>
      </c>
      <c r="J233">
        <v>200</v>
      </c>
      <c r="K233">
        <v>7</v>
      </c>
      <c r="L233">
        <v>193</v>
      </c>
      <c r="M233">
        <v>8</v>
      </c>
      <c r="N233">
        <v>117</v>
      </c>
      <c r="O233">
        <v>156</v>
      </c>
      <c r="P233">
        <v>100</v>
      </c>
      <c r="Q233">
        <v>247</v>
      </c>
      <c r="R233">
        <v>58</v>
      </c>
      <c r="S233">
        <v>207</v>
      </c>
      <c r="T233">
        <v>0</v>
      </c>
      <c r="U233">
        <v>79</v>
      </c>
      <c r="V233">
        <v>84</v>
      </c>
      <c r="W233">
        <v>60</v>
      </c>
      <c r="X233">
        <v>119</v>
      </c>
      <c r="Y233">
        <v>202</v>
      </c>
      <c r="Z233">
        <v>101</v>
      </c>
      <c r="AA233">
        <v>239</v>
      </c>
      <c r="AB233">
        <v>27</v>
      </c>
      <c r="AC233">
        <v>62</v>
      </c>
      <c r="AD233">
        <v>204</v>
      </c>
      <c r="AE233">
        <v>191</v>
      </c>
      <c r="AF233">
        <v>42</v>
      </c>
      <c r="AG233">
        <v>163</v>
      </c>
      <c r="AH233">
        <v>30</v>
      </c>
      <c r="AI233">
        <v>147</v>
      </c>
      <c r="AJ233">
        <v>159</v>
      </c>
      <c r="AK233">
        <v>20</v>
      </c>
      <c r="AL233">
        <v>65</v>
      </c>
    </row>
    <row r="234" spans="6:38" x14ac:dyDescent="0.25">
      <c r="F234" s="36">
        <v>221</v>
      </c>
      <c r="G234">
        <v>17</v>
      </c>
      <c r="H234">
        <v>153</v>
      </c>
      <c r="I234">
        <v>248</v>
      </c>
      <c r="J234">
        <v>25</v>
      </c>
      <c r="K234">
        <v>211</v>
      </c>
      <c r="L234">
        <v>142</v>
      </c>
      <c r="M234">
        <v>197</v>
      </c>
      <c r="N234">
        <v>84</v>
      </c>
      <c r="O234">
        <v>9</v>
      </c>
      <c r="P234">
        <v>50</v>
      </c>
      <c r="Q234">
        <v>15</v>
      </c>
      <c r="R234">
        <v>68</v>
      </c>
      <c r="S234">
        <v>152</v>
      </c>
      <c r="T234">
        <v>178</v>
      </c>
      <c r="U234">
        <v>112</v>
      </c>
      <c r="V234">
        <v>171</v>
      </c>
      <c r="W234">
        <v>35</v>
      </c>
      <c r="X234">
        <v>62</v>
      </c>
      <c r="Y234">
        <v>238</v>
      </c>
      <c r="Z234">
        <v>205</v>
      </c>
      <c r="AA234">
        <v>120</v>
      </c>
      <c r="AB234">
        <v>238</v>
      </c>
      <c r="AC234">
        <v>174</v>
      </c>
      <c r="AD234">
        <v>64</v>
      </c>
      <c r="AE234">
        <v>208</v>
      </c>
      <c r="AF234">
        <v>198</v>
      </c>
      <c r="AG234">
        <v>214</v>
      </c>
      <c r="AH234">
        <v>91</v>
      </c>
      <c r="AI234">
        <v>176</v>
      </c>
      <c r="AJ234">
        <v>154</v>
      </c>
      <c r="AK234">
        <v>175</v>
      </c>
      <c r="AL234">
        <v>195</v>
      </c>
    </row>
    <row r="235" spans="6:38" x14ac:dyDescent="0.25">
      <c r="F235" s="36">
        <v>222</v>
      </c>
      <c r="G235">
        <v>18</v>
      </c>
      <c r="H235">
        <v>86</v>
      </c>
      <c r="I235">
        <v>145</v>
      </c>
      <c r="J235">
        <v>103</v>
      </c>
      <c r="K235">
        <v>63</v>
      </c>
      <c r="L235">
        <v>112</v>
      </c>
      <c r="M235">
        <v>58</v>
      </c>
      <c r="N235">
        <v>71</v>
      </c>
      <c r="O235">
        <v>113</v>
      </c>
      <c r="P235">
        <v>93</v>
      </c>
      <c r="Q235">
        <v>114</v>
      </c>
      <c r="R235">
        <v>31</v>
      </c>
      <c r="S235">
        <v>21</v>
      </c>
      <c r="T235">
        <v>231</v>
      </c>
      <c r="U235">
        <v>110</v>
      </c>
      <c r="V235">
        <v>229</v>
      </c>
      <c r="W235">
        <v>57</v>
      </c>
      <c r="X235">
        <v>19</v>
      </c>
      <c r="Y235">
        <v>105</v>
      </c>
      <c r="Z235">
        <v>240</v>
      </c>
      <c r="AA235">
        <v>62</v>
      </c>
      <c r="AB235">
        <v>96</v>
      </c>
      <c r="AC235">
        <v>88</v>
      </c>
      <c r="AD235">
        <v>96</v>
      </c>
      <c r="AE235">
        <v>230</v>
      </c>
      <c r="AF235">
        <v>255</v>
      </c>
      <c r="AG235">
        <v>1</v>
      </c>
      <c r="AH235">
        <v>87</v>
      </c>
      <c r="AI235">
        <v>35</v>
      </c>
      <c r="AJ235">
        <v>148</v>
      </c>
      <c r="AK235">
        <v>223</v>
      </c>
      <c r="AL235">
        <v>155</v>
      </c>
    </row>
    <row r="236" spans="6:38" x14ac:dyDescent="0.25">
      <c r="F236" s="36">
        <v>223</v>
      </c>
      <c r="G236">
        <v>140</v>
      </c>
      <c r="H236">
        <v>243</v>
      </c>
      <c r="I236">
        <v>81</v>
      </c>
      <c r="J236">
        <v>28</v>
      </c>
      <c r="K236">
        <v>39</v>
      </c>
      <c r="L236">
        <v>60</v>
      </c>
      <c r="M236">
        <v>8</v>
      </c>
      <c r="N236">
        <v>203</v>
      </c>
      <c r="O236">
        <v>112</v>
      </c>
      <c r="P236">
        <v>154</v>
      </c>
      <c r="Q236">
        <v>245</v>
      </c>
      <c r="R236">
        <v>21</v>
      </c>
      <c r="S236">
        <v>245</v>
      </c>
      <c r="T236">
        <v>60</v>
      </c>
      <c r="U236">
        <v>29</v>
      </c>
      <c r="V236">
        <v>33</v>
      </c>
      <c r="W236">
        <v>246</v>
      </c>
      <c r="X236">
        <v>19</v>
      </c>
      <c r="Y236">
        <v>206</v>
      </c>
      <c r="Z236">
        <v>238</v>
      </c>
      <c r="AA236">
        <v>220</v>
      </c>
      <c r="AB236">
        <v>167</v>
      </c>
      <c r="AC236">
        <v>139</v>
      </c>
      <c r="AD236">
        <v>70</v>
      </c>
      <c r="AE236">
        <v>110</v>
      </c>
      <c r="AF236">
        <v>38</v>
      </c>
      <c r="AG236">
        <v>139</v>
      </c>
      <c r="AH236">
        <v>44</v>
      </c>
      <c r="AI236">
        <v>170</v>
      </c>
      <c r="AJ236">
        <v>194</v>
      </c>
      <c r="AK236">
        <v>155</v>
      </c>
      <c r="AL236">
        <v>51</v>
      </c>
    </row>
    <row r="237" spans="6:38" x14ac:dyDescent="0.25">
      <c r="F237" s="36">
        <v>224</v>
      </c>
      <c r="G237">
        <v>224</v>
      </c>
      <c r="H237">
        <v>250</v>
      </c>
      <c r="I237">
        <v>90</v>
      </c>
      <c r="J237">
        <v>18</v>
      </c>
      <c r="K237">
        <v>218</v>
      </c>
      <c r="L237">
        <v>37</v>
      </c>
      <c r="M237">
        <v>115</v>
      </c>
      <c r="N237">
        <v>139</v>
      </c>
      <c r="O237">
        <v>29</v>
      </c>
      <c r="P237">
        <v>129</v>
      </c>
      <c r="Q237">
        <v>148</v>
      </c>
      <c r="R237">
        <v>21</v>
      </c>
      <c r="S237">
        <v>212</v>
      </c>
      <c r="T237">
        <v>96</v>
      </c>
      <c r="U237">
        <v>74</v>
      </c>
      <c r="V237">
        <v>68</v>
      </c>
      <c r="W237">
        <v>78</v>
      </c>
      <c r="X237">
        <v>193</v>
      </c>
      <c r="Y237">
        <v>59</v>
      </c>
      <c r="Z237">
        <v>109</v>
      </c>
      <c r="AA237">
        <v>182</v>
      </c>
      <c r="AB237">
        <v>26</v>
      </c>
      <c r="AC237">
        <v>197</v>
      </c>
      <c r="AD237">
        <v>72</v>
      </c>
      <c r="AE237">
        <v>241</v>
      </c>
      <c r="AF237">
        <v>251</v>
      </c>
      <c r="AG237">
        <v>68</v>
      </c>
      <c r="AH237">
        <v>39</v>
      </c>
      <c r="AI237">
        <v>128</v>
      </c>
      <c r="AJ237">
        <v>53</v>
      </c>
      <c r="AK237">
        <v>100</v>
      </c>
      <c r="AL237">
        <v>14</v>
      </c>
    </row>
    <row r="238" spans="6:38" x14ac:dyDescent="0.25">
      <c r="F238" s="36">
        <v>225</v>
      </c>
      <c r="G238">
        <v>85</v>
      </c>
      <c r="H238">
        <v>203</v>
      </c>
      <c r="I238">
        <v>167</v>
      </c>
      <c r="J238">
        <v>34</v>
      </c>
      <c r="K238">
        <v>121</v>
      </c>
      <c r="L238">
        <v>230</v>
      </c>
      <c r="M238">
        <v>22</v>
      </c>
      <c r="N238">
        <v>252</v>
      </c>
      <c r="O238">
        <v>181</v>
      </c>
      <c r="P238">
        <v>94</v>
      </c>
      <c r="Q238">
        <v>122</v>
      </c>
      <c r="R238">
        <v>29</v>
      </c>
      <c r="S238">
        <v>160</v>
      </c>
      <c r="T238">
        <v>67</v>
      </c>
      <c r="U238">
        <v>219</v>
      </c>
      <c r="V238">
        <v>77</v>
      </c>
      <c r="W238">
        <v>255</v>
      </c>
      <c r="X238">
        <v>215</v>
      </c>
      <c r="Y238">
        <v>109</v>
      </c>
      <c r="Z238">
        <v>53</v>
      </c>
      <c r="AA238">
        <v>213</v>
      </c>
      <c r="AB238">
        <v>244</v>
      </c>
      <c r="AC238">
        <v>229</v>
      </c>
      <c r="AD238">
        <v>147</v>
      </c>
      <c r="AE238">
        <v>142</v>
      </c>
      <c r="AF238">
        <v>88</v>
      </c>
      <c r="AG238">
        <v>142</v>
      </c>
      <c r="AH238">
        <v>233</v>
      </c>
      <c r="AI238">
        <v>15</v>
      </c>
      <c r="AJ238">
        <v>217</v>
      </c>
      <c r="AK238">
        <v>136</v>
      </c>
      <c r="AL238">
        <v>1</v>
      </c>
    </row>
    <row r="239" spans="6:38" x14ac:dyDescent="0.25">
      <c r="F239" s="36">
        <v>226</v>
      </c>
      <c r="G239">
        <v>202</v>
      </c>
      <c r="H239">
        <v>67</v>
      </c>
      <c r="I239">
        <v>213</v>
      </c>
      <c r="J239">
        <v>230</v>
      </c>
      <c r="K239">
        <v>125</v>
      </c>
      <c r="L239">
        <v>11</v>
      </c>
      <c r="M239">
        <v>121</v>
      </c>
      <c r="N239">
        <v>247</v>
      </c>
      <c r="O239">
        <v>185</v>
      </c>
      <c r="P239">
        <v>113</v>
      </c>
      <c r="Q239">
        <v>133</v>
      </c>
      <c r="R239">
        <v>176</v>
      </c>
      <c r="S239">
        <v>232</v>
      </c>
      <c r="T239">
        <v>23</v>
      </c>
      <c r="U239">
        <v>11</v>
      </c>
      <c r="V239">
        <v>92</v>
      </c>
      <c r="W239">
        <v>96</v>
      </c>
      <c r="X239">
        <v>127</v>
      </c>
      <c r="Y239">
        <v>18</v>
      </c>
      <c r="Z239">
        <v>98</v>
      </c>
      <c r="AA239">
        <v>225</v>
      </c>
      <c r="AB239">
        <v>165</v>
      </c>
      <c r="AC239">
        <v>180</v>
      </c>
      <c r="AD239">
        <v>237</v>
      </c>
      <c r="AE239">
        <v>86</v>
      </c>
      <c r="AF239">
        <v>64</v>
      </c>
      <c r="AG239">
        <v>76</v>
      </c>
      <c r="AH239">
        <v>95</v>
      </c>
      <c r="AI239">
        <v>229</v>
      </c>
      <c r="AJ239">
        <v>68</v>
      </c>
      <c r="AK239">
        <v>176</v>
      </c>
      <c r="AL239">
        <v>209</v>
      </c>
    </row>
    <row r="240" spans="6:38" x14ac:dyDescent="0.25">
      <c r="F240" s="36">
        <v>227</v>
      </c>
      <c r="G240">
        <v>48</v>
      </c>
      <c r="H240">
        <v>208</v>
      </c>
      <c r="I240">
        <v>228</v>
      </c>
      <c r="J240">
        <v>236</v>
      </c>
      <c r="K240">
        <v>94</v>
      </c>
      <c r="L240">
        <v>197</v>
      </c>
      <c r="M240">
        <v>161</v>
      </c>
      <c r="N240">
        <v>175</v>
      </c>
      <c r="O240">
        <v>130</v>
      </c>
      <c r="P240">
        <v>137</v>
      </c>
      <c r="Q240">
        <v>183</v>
      </c>
      <c r="R240">
        <v>85</v>
      </c>
      <c r="S240">
        <v>194</v>
      </c>
      <c r="T240">
        <v>148</v>
      </c>
      <c r="U240">
        <v>155</v>
      </c>
      <c r="V240">
        <v>50</v>
      </c>
      <c r="W240">
        <v>90</v>
      </c>
      <c r="X240">
        <v>188</v>
      </c>
      <c r="Y240">
        <v>27</v>
      </c>
      <c r="Z240">
        <v>251</v>
      </c>
      <c r="AA240">
        <v>97</v>
      </c>
      <c r="AB240">
        <v>31</v>
      </c>
      <c r="AC240">
        <v>162</v>
      </c>
      <c r="AD240">
        <v>149</v>
      </c>
      <c r="AE240">
        <v>83</v>
      </c>
      <c r="AF240">
        <v>115</v>
      </c>
      <c r="AG240">
        <v>12</v>
      </c>
      <c r="AH240">
        <v>7</v>
      </c>
      <c r="AI240">
        <v>120</v>
      </c>
      <c r="AJ240">
        <v>185</v>
      </c>
      <c r="AK240">
        <v>80</v>
      </c>
      <c r="AL240">
        <v>209</v>
      </c>
    </row>
    <row r="241" spans="6:38" x14ac:dyDescent="0.25">
      <c r="F241" s="36">
        <v>228</v>
      </c>
      <c r="G241">
        <v>238</v>
      </c>
      <c r="H241">
        <v>50</v>
      </c>
      <c r="I241">
        <v>60</v>
      </c>
      <c r="J241">
        <v>167</v>
      </c>
      <c r="K241">
        <v>227</v>
      </c>
      <c r="L241">
        <v>110</v>
      </c>
      <c r="M241">
        <v>97</v>
      </c>
      <c r="N241">
        <v>175</v>
      </c>
      <c r="O241">
        <v>245</v>
      </c>
      <c r="P241">
        <v>98</v>
      </c>
      <c r="Q241">
        <v>41</v>
      </c>
      <c r="R241">
        <v>180</v>
      </c>
      <c r="S241">
        <v>183</v>
      </c>
      <c r="T241">
        <v>195</v>
      </c>
      <c r="U241">
        <v>202</v>
      </c>
      <c r="V241">
        <v>47</v>
      </c>
      <c r="W241">
        <v>77</v>
      </c>
      <c r="X241">
        <v>176</v>
      </c>
      <c r="Y241">
        <v>80</v>
      </c>
      <c r="Z241">
        <v>133</v>
      </c>
      <c r="AA241">
        <v>160</v>
      </c>
      <c r="AB241">
        <v>16</v>
      </c>
      <c r="AC241">
        <v>186</v>
      </c>
      <c r="AD241">
        <v>117</v>
      </c>
      <c r="AE241">
        <v>63</v>
      </c>
      <c r="AF241">
        <v>106</v>
      </c>
      <c r="AG241">
        <v>245</v>
      </c>
      <c r="AH241">
        <v>42</v>
      </c>
      <c r="AI241">
        <v>192</v>
      </c>
      <c r="AJ241">
        <v>132</v>
      </c>
      <c r="AK241">
        <v>128</v>
      </c>
      <c r="AL241">
        <v>234</v>
      </c>
    </row>
    <row r="242" spans="6:38" x14ac:dyDescent="0.25">
      <c r="F242" s="36">
        <v>229</v>
      </c>
      <c r="G242">
        <v>81</v>
      </c>
      <c r="H242">
        <v>28</v>
      </c>
      <c r="I242">
        <v>4</v>
      </c>
      <c r="J242">
        <v>30</v>
      </c>
      <c r="K242">
        <v>51</v>
      </c>
      <c r="L242">
        <v>200</v>
      </c>
      <c r="M242">
        <v>230</v>
      </c>
      <c r="N242">
        <v>198</v>
      </c>
      <c r="O242">
        <v>187</v>
      </c>
      <c r="P242">
        <v>44</v>
      </c>
      <c r="Q242">
        <v>202</v>
      </c>
      <c r="R242">
        <v>19</v>
      </c>
      <c r="S242">
        <v>185</v>
      </c>
      <c r="T242">
        <v>97</v>
      </c>
      <c r="U242">
        <v>172</v>
      </c>
      <c r="V242">
        <v>28</v>
      </c>
      <c r="W242">
        <v>248</v>
      </c>
      <c r="X242">
        <v>56</v>
      </c>
      <c r="Y242">
        <v>0</v>
      </c>
      <c r="Z242">
        <v>135</v>
      </c>
      <c r="AA242">
        <v>57</v>
      </c>
      <c r="AB242">
        <v>76</v>
      </c>
      <c r="AC242">
        <v>3</v>
      </c>
      <c r="AD242">
        <v>129</v>
      </c>
      <c r="AE242">
        <v>110</v>
      </c>
      <c r="AF242">
        <v>159</v>
      </c>
      <c r="AG242">
        <v>217</v>
      </c>
      <c r="AH242">
        <v>198</v>
      </c>
      <c r="AI242">
        <v>157</v>
      </c>
      <c r="AJ242">
        <v>252</v>
      </c>
      <c r="AK242">
        <v>195</v>
      </c>
      <c r="AL242">
        <v>144</v>
      </c>
    </row>
    <row r="243" spans="6:38" x14ac:dyDescent="0.25">
      <c r="F243" s="36">
        <v>230</v>
      </c>
      <c r="G243">
        <v>19</v>
      </c>
      <c r="H243">
        <v>223</v>
      </c>
      <c r="I243">
        <v>23</v>
      </c>
      <c r="J243">
        <v>145</v>
      </c>
      <c r="K243">
        <v>224</v>
      </c>
      <c r="L243">
        <v>179</v>
      </c>
      <c r="M243">
        <v>226</v>
      </c>
      <c r="N243">
        <v>199</v>
      </c>
      <c r="O243">
        <v>101</v>
      </c>
      <c r="P243">
        <v>112</v>
      </c>
      <c r="Q243">
        <v>44</v>
      </c>
      <c r="R243">
        <v>15</v>
      </c>
      <c r="S243">
        <v>228</v>
      </c>
      <c r="T243">
        <v>200</v>
      </c>
      <c r="U243">
        <v>161</v>
      </c>
      <c r="V243">
        <v>96</v>
      </c>
      <c r="W243">
        <v>17</v>
      </c>
      <c r="X243">
        <v>238</v>
      </c>
      <c r="Y243">
        <v>254</v>
      </c>
      <c r="Z243">
        <v>33</v>
      </c>
      <c r="AA243">
        <v>240</v>
      </c>
      <c r="AB243">
        <v>139</v>
      </c>
      <c r="AC243">
        <v>138</v>
      </c>
      <c r="AD243">
        <v>233</v>
      </c>
      <c r="AE243">
        <v>192</v>
      </c>
      <c r="AF243">
        <v>53</v>
      </c>
      <c r="AG243">
        <v>152</v>
      </c>
      <c r="AH243">
        <v>78</v>
      </c>
      <c r="AI243">
        <v>201</v>
      </c>
      <c r="AJ243">
        <v>80</v>
      </c>
      <c r="AK243">
        <v>226</v>
      </c>
      <c r="AL243">
        <v>195</v>
      </c>
    </row>
    <row r="244" spans="6:38" x14ac:dyDescent="0.25">
      <c r="F244" s="36">
        <v>231</v>
      </c>
      <c r="G244">
        <v>126</v>
      </c>
      <c r="H244">
        <v>185</v>
      </c>
      <c r="I244">
        <v>151</v>
      </c>
      <c r="J244">
        <v>138</v>
      </c>
      <c r="K244">
        <v>154</v>
      </c>
      <c r="L244">
        <v>234</v>
      </c>
      <c r="M244">
        <v>4</v>
      </c>
      <c r="N244">
        <v>192</v>
      </c>
      <c r="O244">
        <v>117</v>
      </c>
      <c r="P244">
        <v>107</v>
      </c>
      <c r="Q244">
        <v>190</v>
      </c>
      <c r="R244">
        <v>102</v>
      </c>
      <c r="S244">
        <v>139</v>
      </c>
      <c r="T244">
        <v>9</v>
      </c>
      <c r="U244">
        <v>195</v>
      </c>
      <c r="V244">
        <v>141</v>
      </c>
      <c r="W244">
        <v>66</v>
      </c>
      <c r="X244">
        <v>116</v>
      </c>
      <c r="Y244">
        <v>74</v>
      </c>
      <c r="Z244">
        <v>69</v>
      </c>
      <c r="AA244">
        <v>99</v>
      </c>
      <c r="AB244">
        <v>82</v>
      </c>
      <c r="AC244">
        <v>172</v>
      </c>
      <c r="AD244">
        <v>35</v>
      </c>
      <c r="AE244">
        <v>255</v>
      </c>
      <c r="AF244">
        <v>155</v>
      </c>
      <c r="AG244">
        <v>103</v>
      </c>
      <c r="AH244">
        <v>112</v>
      </c>
      <c r="AI244">
        <v>143</v>
      </c>
      <c r="AJ244">
        <v>56</v>
      </c>
      <c r="AK244">
        <v>70</v>
      </c>
      <c r="AL244">
        <v>46</v>
      </c>
    </row>
    <row r="245" spans="6:38" x14ac:dyDescent="0.25">
      <c r="F245" s="36">
        <v>232</v>
      </c>
      <c r="G245">
        <v>232</v>
      </c>
      <c r="H245">
        <v>121</v>
      </c>
      <c r="I245">
        <v>140</v>
      </c>
      <c r="J245">
        <v>84</v>
      </c>
      <c r="K245">
        <v>109</v>
      </c>
      <c r="L245">
        <v>84</v>
      </c>
      <c r="M245">
        <v>164</v>
      </c>
      <c r="N245">
        <v>197</v>
      </c>
      <c r="O245">
        <v>93</v>
      </c>
      <c r="P245">
        <v>31</v>
      </c>
      <c r="Q245">
        <v>103</v>
      </c>
      <c r="R245">
        <v>228</v>
      </c>
      <c r="S245">
        <v>129</v>
      </c>
      <c r="T245">
        <v>56</v>
      </c>
      <c r="U245">
        <v>96</v>
      </c>
      <c r="V245">
        <v>215</v>
      </c>
      <c r="W245">
        <v>152</v>
      </c>
      <c r="X245">
        <v>241</v>
      </c>
      <c r="Y245">
        <v>144</v>
      </c>
      <c r="Z245">
        <v>28</v>
      </c>
      <c r="AA245">
        <v>40</v>
      </c>
      <c r="AB245">
        <v>6</v>
      </c>
      <c r="AC245">
        <v>143</v>
      </c>
      <c r="AD245">
        <v>103</v>
      </c>
      <c r="AE245">
        <v>71</v>
      </c>
      <c r="AF245">
        <v>88</v>
      </c>
      <c r="AG245">
        <v>22</v>
      </c>
      <c r="AH245">
        <v>237</v>
      </c>
      <c r="AI245">
        <v>213</v>
      </c>
      <c r="AJ245">
        <v>193</v>
      </c>
      <c r="AK245">
        <v>198</v>
      </c>
      <c r="AL245">
        <v>103</v>
      </c>
    </row>
    <row r="246" spans="6:38" x14ac:dyDescent="0.25">
      <c r="F246" s="36">
        <v>233</v>
      </c>
      <c r="G246">
        <v>242</v>
      </c>
      <c r="H246">
        <v>41</v>
      </c>
      <c r="I246">
        <v>60</v>
      </c>
      <c r="J246">
        <v>207</v>
      </c>
      <c r="K246">
        <v>191</v>
      </c>
      <c r="L246">
        <v>242</v>
      </c>
      <c r="M246">
        <v>145</v>
      </c>
      <c r="N246">
        <v>148</v>
      </c>
      <c r="O246">
        <v>176</v>
      </c>
      <c r="P246">
        <v>220</v>
      </c>
      <c r="Q246">
        <v>239</v>
      </c>
      <c r="R246">
        <v>157</v>
      </c>
      <c r="S246">
        <v>147</v>
      </c>
      <c r="T246">
        <v>6</v>
      </c>
      <c r="U246">
        <v>249</v>
      </c>
      <c r="V246">
        <v>107</v>
      </c>
      <c r="W246">
        <v>137</v>
      </c>
      <c r="X246">
        <v>119</v>
      </c>
      <c r="Y246">
        <v>217</v>
      </c>
      <c r="Z246">
        <v>126</v>
      </c>
      <c r="AA246">
        <v>122</v>
      </c>
      <c r="AB246">
        <v>92</v>
      </c>
      <c r="AC246">
        <v>168</v>
      </c>
      <c r="AD246">
        <v>220</v>
      </c>
      <c r="AE246">
        <v>94</v>
      </c>
      <c r="AF246">
        <v>195</v>
      </c>
      <c r="AG246">
        <v>74</v>
      </c>
      <c r="AH246">
        <v>14</v>
      </c>
      <c r="AI246">
        <v>200</v>
      </c>
      <c r="AJ246">
        <v>74</v>
      </c>
      <c r="AK246">
        <v>37</v>
      </c>
      <c r="AL246">
        <v>17</v>
      </c>
    </row>
    <row r="247" spans="6:38" x14ac:dyDescent="0.25">
      <c r="F247" s="36">
        <v>234</v>
      </c>
      <c r="G247">
        <v>167</v>
      </c>
      <c r="H247">
        <v>181</v>
      </c>
      <c r="I247">
        <v>75</v>
      </c>
      <c r="J247">
        <v>148</v>
      </c>
      <c r="K247">
        <v>104</v>
      </c>
      <c r="L247">
        <v>204</v>
      </c>
      <c r="M247">
        <v>190</v>
      </c>
      <c r="N247">
        <v>22</v>
      </c>
      <c r="O247">
        <v>141</v>
      </c>
      <c r="P247">
        <v>83</v>
      </c>
      <c r="Q247">
        <v>26</v>
      </c>
      <c r="R247">
        <v>4</v>
      </c>
      <c r="S247">
        <v>242</v>
      </c>
      <c r="T247">
        <v>206</v>
      </c>
      <c r="U247">
        <v>197</v>
      </c>
      <c r="V247">
        <v>211</v>
      </c>
      <c r="W247">
        <v>142</v>
      </c>
      <c r="X247">
        <v>50</v>
      </c>
      <c r="Y247">
        <v>200</v>
      </c>
      <c r="Z247">
        <v>125</v>
      </c>
      <c r="AA247">
        <v>95</v>
      </c>
      <c r="AB247">
        <v>16</v>
      </c>
      <c r="AC247">
        <v>25</v>
      </c>
      <c r="AD247">
        <v>102</v>
      </c>
      <c r="AE247">
        <v>167</v>
      </c>
      <c r="AF247">
        <v>6</v>
      </c>
      <c r="AG247">
        <v>41</v>
      </c>
      <c r="AH247">
        <v>248</v>
      </c>
      <c r="AI247">
        <v>176</v>
      </c>
      <c r="AJ247">
        <v>30</v>
      </c>
      <c r="AK247">
        <v>164</v>
      </c>
      <c r="AL247">
        <v>113</v>
      </c>
    </row>
    <row r="248" spans="6:38" x14ac:dyDescent="0.25">
      <c r="F248" s="36">
        <v>235</v>
      </c>
      <c r="G248">
        <v>148</v>
      </c>
      <c r="H248">
        <v>163</v>
      </c>
      <c r="I248">
        <v>55</v>
      </c>
      <c r="J248">
        <v>74</v>
      </c>
      <c r="K248">
        <v>90</v>
      </c>
      <c r="L248">
        <v>72</v>
      </c>
      <c r="M248">
        <v>228</v>
      </c>
      <c r="N248">
        <v>3</v>
      </c>
      <c r="O248">
        <v>42</v>
      </c>
      <c r="P248">
        <v>9</v>
      </c>
      <c r="Q248">
        <v>161</v>
      </c>
      <c r="R248">
        <v>106</v>
      </c>
      <c r="S248">
        <v>30</v>
      </c>
      <c r="T248">
        <v>234</v>
      </c>
      <c r="U248">
        <v>138</v>
      </c>
      <c r="V248">
        <v>254</v>
      </c>
      <c r="W248">
        <v>180</v>
      </c>
      <c r="X248">
        <v>32</v>
      </c>
      <c r="Y248">
        <v>59</v>
      </c>
      <c r="Z248">
        <v>89</v>
      </c>
      <c r="AA248">
        <v>226</v>
      </c>
      <c r="AB248">
        <v>239</v>
      </c>
      <c r="AC248">
        <v>194</v>
      </c>
      <c r="AD248">
        <v>123</v>
      </c>
      <c r="AE248">
        <v>0</v>
      </c>
      <c r="AF248">
        <v>118</v>
      </c>
      <c r="AG248">
        <v>8</v>
      </c>
      <c r="AH248">
        <v>9</v>
      </c>
      <c r="AI248">
        <v>51</v>
      </c>
      <c r="AJ248">
        <v>94</v>
      </c>
      <c r="AK248">
        <v>231</v>
      </c>
      <c r="AL248">
        <v>119</v>
      </c>
    </row>
    <row r="249" spans="6:38" x14ac:dyDescent="0.25">
      <c r="F249" s="36">
        <v>236</v>
      </c>
      <c r="G249">
        <v>186</v>
      </c>
      <c r="H249">
        <v>123</v>
      </c>
      <c r="I249">
        <v>74</v>
      </c>
      <c r="J249">
        <v>72</v>
      </c>
      <c r="K249">
        <v>197</v>
      </c>
      <c r="L249">
        <v>156</v>
      </c>
      <c r="M249">
        <v>249</v>
      </c>
      <c r="N249">
        <v>39</v>
      </c>
      <c r="O249">
        <v>198</v>
      </c>
      <c r="P249">
        <v>215</v>
      </c>
      <c r="Q249">
        <v>169</v>
      </c>
      <c r="R249">
        <v>244</v>
      </c>
      <c r="S249">
        <v>44</v>
      </c>
      <c r="T249">
        <v>44</v>
      </c>
      <c r="U249">
        <v>61</v>
      </c>
      <c r="V249">
        <v>6</v>
      </c>
      <c r="W249">
        <v>179</v>
      </c>
      <c r="X249">
        <v>241</v>
      </c>
      <c r="Y249">
        <v>217</v>
      </c>
      <c r="Z249">
        <v>204</v>
      </c>
      <c r="AA249">
        <v>23</v>
      </c>
      <c r="AB249">
        <v>21</v>
      </c>
      <c r="AC249">
        <v>82</v>
      </c>
      <c r="AD249">
        <v>133</v>
      </c>
      <c r="AE249">
        <v>155</v>
      </c>
      <c r="AF249">
        <v>27</v>
      </c>
      <c r="AG249">
        <v>113</v>
      </c>
      <c r="AH249">
        <v>191</v>
      </c>
      <c r="AI249">
        <v>84</v>
      </c>
      <c r="AJ249">
        <v>105</v>
      </c>
      <c r="AK249">
        <v>184</v>
      </c>
      <c r="AL249">
        <v>72</v>
      </c>
    </row>
    <row r="250" spans="6:38" x14ac:dyDescent="0.25">
      <c r="F250" s="36">
        <v>237</v>
      </c>
      <c r="G250">
        <v>143</v>
      </c>
      <c r="H250">
        <v>96</v>
      </c>
      <c r="I250">
        <v>65</v>
      </c>
      <c r="J250">
        <v>222</v>
      </c>
      <c r="K250">
        <v>121</v>
      </c>
      <c r="L250">
        <v>200</v>
      </c>
      <c r="M250">
        <v>118</v>
      </c>
      <c r="N250">
        <v>48</v>
      </c>
      <c r="O250">
        <v>211</v>
      </c>
      <c r="P250">
        <v>92</v>
      </c>
      <c r="Q250">
        <v>50</v>
      </c>
      <c r="R250">
        <v>201</v>
      </c>
      <c r="S250">
        <v>100</v>
      </c>
      <c r="T250">
        <v>53</v>
      </c>
      <c r="U250">
        <v>4</v>
      </c>
      <c r="V250">
        <v>118</v>
      </c>
      <c r="W250">
        <v>181</v>
      </c>
      <c r="X250">
        <v>196</v>
      </c>
      <c r="Y250">
        <v>219</v>
      </c>
      <c r="Z250">
        <v>240</v>
      </c>
      <c r="AA250">
        <v>93</v>
      </c>
      <c r="AB250">
        <v>178</v>
      </c>
      <c r="AC250">
        <v>215</v>
      </c>
      <c r="AD250">
        <v>110</v>
      </c>
      <c r="AE250">
        <v>86</v>
      </c>
      <c r="AF250">
        <v>146</v>
      </c>
      <c r="AG250">
        <v>140</v>
      </c>
      <c r="AH250">
        <v>153</v>
      </c>
      <c r="AI250">
        <v>35</v>
      </c>
      <c r="AJ250">
        <v>79</v>
      </c>
      <c r="AK250">
        <v>255</v>
      </c>
      <c r="AL250">
        <v>165</v>
      </c>
    </row>
    <row r="251" spans="6:38" x14ac:dyDescent="0.25">
      <c r="F251" s="36">
        <v>238</v>
      </c>
      <c r="G251">
        <v>60</v>
      </c>
      <c r="H251">
        <v>47</v>
      </c>
      <c r="I251">
        <v>199</v>
      </c>
      <c r="J251">
        <v>90</v>
      </c>
      <c r="K251">
        <v>231</v>
      </c>
      <c r="L251">
        <v>168</v>
      </c>
      <c r="M251">
        <v>88</v>
      </c>
      <c r="N251">
        <v>146</v>
      </c>
      <c r="O251">
        <v>72</v>
      </c>
      <c r="P251">
        <v>47</v>
      </c>
      <c r="Q251">
        <v>249</v>
      </c>
      <c r="R251">
        <v>2</v>
      </c>
      <c r="S251">
        <v>168</v>
      </c>
      <c r="T251">
        <v>161</v>
      </c>
      <c r="U251">
        <v>88</v>
      </c>
      <c r="V251">
        <v>41</v>
      </c>
      <c r="W251">
        <v>78</v>
      </c>
      <c r="X251">
        <v>174</v>
      </c>
      <c r="Y251">
        <v>91</v>
      </c>
      <c r="Z251">
        <v>91</v>
      </c>
      <c r="AA251">
        <v>170</v>
      </c>
      <c r="AB251">
        <v>10</v>
      </c>
      <c r="AC251">
        <v>27</v>
      </c>
      <c r="AD251">
        <v>144</v>
      </c>
      <c r="AE251">
        <v>190</v>
      </c>
      <c r="AF251">
        <v>91</v>
      </c>
      <c r="AG251">
        <v>134</v>
      </c>
      <c r="AH251">
        <v>239</v>
      </c>
      <c r="AI251">
        <v>63</v>
      </c>
      <c r="AJ251">
        <v>25</v>
      </c>
      <c r="AK251">
        <v>192</v>
      </c>
      <c r="AL251">
        <v>159</v>
      </c>
    </row>
    <row r="252" spans="6:38" x14ac:dyDescent="0.25">
      <c r="F252" s="36">
        <v>239</v>
      </c>
      <c r="G252">
        <v>241</v>
      </c>
      <c r="H252">
        <v>10</v>
      </c>
      <c r="I252">
        <v>158</v>
      </c>
      <c r="J252">
        <v>9</v>
      </c>
      <c r="K252">
        <v>246</v>
      </c>
      <c r="L252">
        <v>219</v>
      </c>
      <c r="M252">
        <v>205</v>
      </c>
      <c r="N252">
        <v>179</v>
      </c>
      <c r="O252">
        <v>74</v>
      </c>
      <c r="P252">
        <v>122</v>
      </c>
      <c r="Q252">
        <v>70</v>
      </c>
      <c r="R252">
        <v>14</v>
      </c>
      <c r="S252">
        <v>237</v>
      </c>
      <c r="T252">
        <v>108</v>
      </c>
      <c r="U252">
        <v>18</v>
      </c>
      <c r="V252">
        <v>110</v>
      </c>
      <c r="W252">
        <v>87</v>
      </c>
      <c r="X252">
        <v>232</v>
      </c>
      <c r="Y252">
        <v>186</v>
      </c>
      <c r="Z252">
        <v>239</v>
      </c>
      <c r="AA252">
        <v>120</v>
      </c>
      <c r="AB252">
        <v>140</v>
      </c>
      <c r="AC252">
        <v>50</v>
      </c>
      <c r="AD252">
        <v>129</v>
      </c>
      <c r="AE252">
        <v>40</v>
      </c>
      <c r="AF252">
        <v>43</v>
      </c>
      <c r="AG252">
        <v>154</v>
      </c>
      <c r="AH252">
        <v>120</v>
      </c>
      <c r="AI252">
        <v>202</v>
      </c>
      <c r="AJ252">
        <v>219</v>
      </c>
      <c r="AK252">
        <v>134</v>
      </c>
      <c r="AL252">
        <v>143</v>
      </c>
    </row>
    <row r="253" spans="6:38" x14ac:dyDescent="0.25">
      <c r="F253" s="36">
        <v>240</v>
      </c>
      <c r="G253">
        <v>108</v>
      </c>
      <c r="H253">
        <v>195</v>
      </c>
      <c r="I253">
        <v>144</v>
      </c>
      <c r="J253">
        <v>74</v>
      </c>
      <c r="K253">
        <v>200</v>
      </c>
      <c r="L253">
        <v>151</v>
      </c>
      <c r="M253">
        <v>189</v>
      </c>
      <c r="N253">
        <v>144</v>
      </c>
      <c r="O253">
        <v>46</v>
      </c>
      <c r="P253">
        <v>220</v>
      </c>
      <c r="Q253">
        <v>204</v>
      </c>
      <c r="R253">
        <v>192</v>
      </c>
      <c r="S253">
        <v>254</v>
      </c>
      <c r="T253">
        <v>207</v>
      </c>
      <c r="U253">
        <v>225</v>
      </c>
      <c r="V253">
        <v>243</v>
      </c>
      <c r="W253">
        <v>142</v>
      </c>
      <c r="X253">
        <v>176</v>
      </c>
      <c r="Y253">
        <v>203</v>
      </c>
      <c r="Z253">
        <v>53</v>
      </c>
      <c r="AA253">
        <v>11</v>
      </c>
      <c r="AB253">
        <v>221</v>
      </c>
      <c r="AC253">
        <v>28</v>
      </c>
      <c r="AD253">
        <v>149</v>
      </c>
      <c r="AE253">
        <v>193</v>
      </c>
      <c r="AF253">
        <v>148</v>
      </c>
      <c r="AG253">
        <v>42</v>
      </c>
      <c r="AH253">
        <v>233</v>
      </c>
      <c r="AI253">
        <v>218</v>
      </c>
      <c r="AJ253">
        <v>95</v>
      </c>
      <c r="AK253">
        <v>29</v>
      </c>
      <c r="AL253">
        <v>60</v>
      </c>
    </row>
    <row r="254" spans="6:38" x14ac:dyDescent="0.25">
      <c r="F254" s="36">
        <v>241</v>
      </c>
      <c r="G254">
        <v>196</v>
      </c>
      <c r="H254">
        <v>143</v>
      </c>
      <c r="I254">
        <v>86</v>
      </c>
      <c r="J254">
        <v>61</v>
      </c>
      <c r="K254">
        <v>62</v>
      </c>
      <c r="L254">
        <v>115</v>
      </c>
      <c r="M254">
        <v>164</v>
      </c>
      <c r="N254">
        <v>253</v>
      </c>
      <c r="O254">
        <v>193</v>
      </c>
      <c r="P254">
        <v>104</v>
      </c>
      <c r="Q254">
        <v>227</v>
      </c>
      <c r="R254">
        <v>23</v>
      </c>
      <c r="S254">
        <v>92</v>
      </c>
      <c r="T254">
        <v>106</v>
      </c>
      <c r="U254">
        <v>142</v>
      </c>
      <c r="V254">
        <v>107</v>
      </c>
      <c r="W254">
        <v>74</v>
      </c>
      <c r="X254">
        <v>108</v>
      </c>
      <c r="Y254">
        <v>219</v>
      </c>
      <c r="Z254">
        <v>251</v>
      </c>
      <c r="AA254">
        <v>207</v>
      </c>
      <c r="AB254">
        <v>206</v>
      </c>
      <c r="AC254">
        <v>58</v>
      </c>
      <c r="AD254">
        <v>26</v>
      </c>
      <c r="AE254">
        <v>54</v>
      </c>
      <c r="AF254">
        <v>232</v>
      </c>
      <c r="AG254">
        <v>101</v>
      </c>
      <c r="AH254">
        <v>90</v>
      </c>
      <c r="AI254">
        <v>249</v>
      </c>
      <c r="AJ254">
        <v>155</v>
      </c>
      <c r="AK254">
        <v>162</v>
      </c>
      <c r="AL254">
        <v>98</v>
      </c>
    </row>
    <row r="255" spans="6:38" x14ac:dyDescent="0.25">
      <c r="F255" s="36">
        <v>242</v>
      </c>
      <c r="G255">
        <v>97</v>
      </c>
      <c r="H255">
        <v>100</v>
      </c>
      <c r="I255">
        <v>88</v>
      </c>
      <c r="J255">
        <v>178</v>
      </c>
      <c r="K255">
        <v>105</v>
      </c>
      <c r="L255">
        <v>176</v>
      </c>
      <c r="M255">
        <v>219</v>
      </c>
      <c r="N255">
        <v>209</v>
      </c>
      <c r="O255">
        <v>229</v>
      </c>
      <c r="P255">
        <v>216</v>
      </c>
      <c r="Q255">
        <v>8</v>
      </c>
      <c r="R255">
        <v>48</v>
      </c>
      <c r="S255">
        <v>46</v>
      </c>
      <c r="T255">
        <v>43</v>
      </c>
      <c r="U255">
        <v>58</v>
      </c>
      <c r="V255">
        <v>69</v>
      </c>
      <c r="W255">
        <v>234</v>
      </c>
      <c r="X255">
        <v>67</v>
      </c>
      <c r="Y255">
        <v>255</v>
      </c>
      <c r="Z255">
        <v>20</v>
      </c>
      <c r="AA255">
        <v>36</v>
      </c>
      <c r="AB255">
        <v>167</v>
      </c>
      <c r="AC255">
        <v>15</v>
      </c>
      <c r="AD255">
        <v>190</v>
      </c>
      <c r="AE255">
        <v>69</v>
      </c>
      <c r="AF255">
        <v>73</v>
      </c>
      <c r="AG255">
        <v>99</v>
      </c>
      <c r="AH255">
        <v>15</v>
      </c>
      <c r="AI255">
        <v>29</v>
      </c>
      <c r="AJ255">
        <v>87</v>
      </c>
      <c r="AK255">
        <v>182</v>
      </c>
      <c r="AL255">
        <v>219</v>
      </c>
    </row>
    <row r="256" spans="6:38" x14ac:dyDescent="0.25">
      <c r="F256" s="36">
        <v>243</v>
      </c>
      <c r="G256">
        <v>188</v>
      </c>
      <c r="H256">
        <v>8</v>
      </c>
      <c r="I256">
        <v>135</v>
      </c>
      <c r="J256">
        <v>133</v>
      </c>
      <c r="K256">
        <v>8</v>
      </c>
      <c r="L256">
        <v>79</v>
      </c>
      <c r="M256">
        <v>112</v>
      </c>
      <c r="N256">
        <v>23</v>
      </c>
      <c r="O256">
        <v>32</v>
      </c>
      <c r="P256">
        <v>192</v>
      </c>
      <c r="Q256">
        <v>137</v>
      </c>
      <c r="R256">
        <v>243</v>
      </c>
      <c r="S256">
        <v>14</v>
      </c>
      <c r="T256">
        <v>85</v>
      </c>
      <c r="U256">
        <v>59</v>
      </c>
      <c r="V256">
        <v>141</v>
      </c>
      <c r="W256">
        <v>4</v>
      </c>
      <c r="X256">
        <v>197</v>
      </c>
      <c r="Y256">
        <v>199</v>
      </c>
      <c r="Z256">
        <v>34</v>
      </c>
      <c r="AA256">
        <v>254</v>
      </c>
      <c r="AB256">
        <v>173</v>
      </c>
      <c r="AC256">
        <v>231</v>
      </c>
      <c r="AD256">
        <v>63</v>
      </c>
      <c r="AE256">
        <v>33</v>
      </c>
      <c r="AF256">
        <v>223</v>
      </c>
      <c r="AG256">
        <v>128</v>
      </c>
      <c r="AH256">
        <v>86</v>
      </c>
      <c r="AI256">
        <v>95</v>
      </c>
      <c r="AJ256">
        <v>230</v>
      </c>
      <c r="AK256">
        <v>137</v>
      </c>
      <c r="AL256">
        <v>48</v>
      </c>
    </row>
    <row r="257" spans="6:38" x14ac:dyDescent="0.25">
      <c r="F257" s="36">
        <v>244</v>
      </c>
      <c r="G257">
        <v>56</v>
      </c>
      <c r="H257">
        <v>129</v>
      </c>
      <c r="I257">
        <v>105</v>
      </c>
      <c r="J257">
        <v>205</v>
      </c>
      <c r="K257">
        <v>140</v>
      </c>
      <c r="L257">
        <v>206</v>
      </c>
      <c r="M257">
        <v>72</v>
      </c>
      <c r="N257">
        <v>19</v>
      </c>
      <c r="O257">
        <v>108</v>
      </c>
      <c r="P257">
        <v>193</v>
      </c>
      <c r="Q257">
        <v>12</v>
      </c>
      <c r="R257">
        <v>103</v>
      </c>
      <c r="S257">
        <v>61</v>
      </c>
      <c r="T257">
        <v>184</v>
      </c>
      <c r="U257">
        <v>148</v>
      </c>
      <c r="V257">
        <v>193</v>
      </c>
      <c r="W257">
        <v>176</v>
      </c>
      <c r="X257">
        <v>185</v>
      </c>
      <c r="Y257">
        <v>141</v>
      </c>
      <c r="Z257">
        <v>42</v>
      </c>
      <c r="AA257">
        <v>198</v>
      </c>
      <c r="AB257">
        <v>186</v>
      </c>
      <c r="AC257">
        <v>197</v>
      </c>
      <c r="AD257">
        <v>190</v>
      </c>
      <c r="AE257">
        <v>18</v>
      </c>
      <c r="AF257">
        <v>77</v>
      </c>
      <c r="AG257">
        <v>195</v>
      </c>
      <c r="AH257">
        <v>48</v>
      </c>
      <c r="AI257">
        <v>67</v>
      </c>
      <c r="AJ257">
        <v>82</v>
      </c>
      <c r="AK257">
        <v>254</v>
      </c>
      <c r="AL257">
        <v>123</v>
      </c>
    </row>
    <row r="258" spans="6:38" x14ac:dyDescent="0.25">
      <c r="F258" s="36">
        <v>245</v>
      </c>
      <c r="G258">
        <v>7</v>
      </c>
      <c r="H258">
        <v>57</v>
      </c>
      <c r="I258">
        <v>17</v>
      </c>
      <c r="J258">
        <v>202</v>
      </c>
      <c r="K258">
        <v>164</v>
      </c>
      <c r="L258">
        <v>75</v>
      </c>
      <c r="M258">
        <v>181</v>
      </c>
      <c r="N258">
        <v>236</v>
      </c>
      <c r="O258">
        <v>112</v>
      </c>
      <c r="P258">
        <v>64</v>
      </c>
      <c r="Q258">
        <v>142</v>
      </c>
      <c r="R258">
        <v>107</v>
      </c>
      <c r="S258">
        <v>181</v>
      </c>
      <c r="T258">
        <v>63</v>
      </c>
      <c r="U258">
        <v>23</v>
      </c>
      <c r="V258">
        <v>242</v>
      </c>
      <c r="W258">
        <v>140</v>
      </c>
      <c r="X258">
        <v>189</v>
      </c>
      <c r="Y258">
        <v>200</v>
      </c>
      <c r="Z258">
        <v>42</v>
      </c>
      <c r="AA258">
        <v>169</v>
      </c>
      <c r="AB258">
        <v>121</v>
      </c>
      <c r="AC258">
        <v>123</v>
      </c>
      <c r="AD258">
        <v>71</v>
      </c>
      <c r="AE258">
        <v>14</v>
      </c>
      <c r="AF258">
        <v>73</v>
      </c>
      <c r="AG258">
        <v>127</v>
      </c>
      <c r="AH258">
        <v>164</v>
      </c>
      <c r="AI258">
        <v>52</v>
      </c>
      <c r="AJ258">
        <v>55</v>
      </c>
      <c r="AK258">
        <v>107</v>
      </c>
      <c r="AL258">
        <v>27</v>
      </c>
    </row>
    <row r="259" spans="6:38" x14ac:dyDescent="0.25">
      <c r="F259" s="36">
        <v>246</v>
      </c>
      <c r="G259">
        <v>218</v>
      </c>
      <c r="H259">
        <v>64</v>
      </c>
      <c r="I259">
        <v>48</v>
      </c>
      <c r="J259">
        <v>91</v>
      </c>
      <c r="K259">
        <v>216</v>
      </c>
      <c r="L259">
        <v>130</v>
      </c>
      <c r="M259">
        <v>65</v>
      </c>
      <c r="N259">
        <v>44</v>
      </c>
      <c r="O259">
        <v>88</v>
      </c>
      <c r="P259">
        <v>164</v>
      </c>
      <c r="Q259">
        <v>110</v>
      </c>
      <c r="R259">
        <v>60</v>
      </c>
      <c r="S259">
        <v>11</v>
      </c>
      <c r="T259">
        <v>135</v>
      </c>
      <c r="U259">
        <v>99</v>
      </c>
      <c r="V259">
        <v>24</v>
      </c>
      <c r="W259">
        <v>131</v>
      </c>
      <c r="X259">
        <v>84</v>
      </c>
      <c r="Y259">
        <v>68</v>
      </c>
      <c r="Z259">
        <v>193</v>
      </c>
      <c r="AA259">
        <v>105</v>
      </c>
      <c r="AB259">
        <v>200</v>
      </c>
      <c r="AC259">
        <v>75</v>
      </c>
      <c r="AD259">
        <v>241</v>
      </c>
      <c r="AE259">
        <v>112</v>
      </c>
      <c r="AF259">
        <v>50</v>
      </c>
      <c r="AG259">
        <v>186</v>
      </c>
      <c r="AH259">
        <v>189</v>
      </c>
      <c r="AI259">
        <v>132</v>
      </c>
      <c r="AJ259">
        <v>141</v>
      </c>
      <c r="AK259">
        <v>234</v>
      </c>
      <c r="AL259">
        <v>179</v>
      </c>
    </row>
    <row r="260" spans="6:38" x14ac:dyDescent="0.25">
      <c r="F260" s="36">
        <v>247</v>
      </c>
      <c r="G260">
        <v>191</v>
      </c>
      <c r="H260">
        <v>196</v>
      </c>
      <c r="I260">
        <v>219</v>
      </c>
      <c r="J260">
        <v>119</v>
      </c>
      <c r="K260">
        <v>48</v>
      </c>
      <c r="L260">
        <v>35</v>
      </c>
      <c r="M260">
        <v>64</v>
      </c>
      <c r="N260">
        <v>220</v>
      </c>
      <c r="O260">
        <v>24</v>
      </c>
      <c r="P260">
        <v>90</v>
      </c>
      <c r="Q260">
        <v>26</v>
      </c>
      <c r="R260">
        <v>150</v>
      </c>
      <c r="S260">
        <v>161</v>
      </c>
      <c r="T260">
        <v>145</v>
      </c>
      <c r="U260">
        <v>82</v>
      </c>
      <c r="V260">
        <v>225</v>
      </c>
      <c r="W260">
        <v>152</v>
      </c>
      <c r="X260">
        <v>146</v>
      </c>
      <c r="Y260">
        <v>134</v>
      </c>
      <c r="Z260">
        <v>223</v>
      </c>
      <c r="AA260">
        <v>171</v>
      </c>
      <c r="AB260">
        <v>111</v>
      </c>
      <c r="AC260">
        <v>231</v>
      </c>
      <c r="AD260">
        <v>51</v>
      </c>
      <c r="AE260">
        <v>100</v>
      </c>
      <c r="AF260">
        <v>19</v>
      </c>
      <c r="AG260">
        <v>156</v>
      </c>
      <c r="AH260">
        <v>179</v>
      </c>
      <c r="AI260">
        <v>144</v>
      </c>
      <c r="AJ260">
        <v>189</v>
      </c>
      <c r="AK260">
        <v>153</v>
      </c>
      <c r="AL260">
        <v>179</v>
      </c>
    </row>
    <row r="261" spans="6:38" x14ac:dyDescent="0.25">
      <c r="F261" s="36">
        <v>248</v>
      </c>
      <c r="G261">
        <v>115</v>
      </c>
      <c r="H261">
        <v>21</v>
      </c>
      <c r="I261">
        <v>187</v>
      </c>
      <c r="J261">
        <v>226</v>
      </c>
      <c r="K261">
        <v>54</v>
      </c>
      <c r="L261">
        <v>182</v>
      </c>
      <c r="M261">
        <v>127</v>
      </c>
      <c r="N261">
        <v>75</v>
      </c>
      <c r="O261">
        <v>71</v>
      </c>
      <c r="P261">
        <v>63</v>
      </c>
      <c r="Q261">
        <v>236</v>
      </c>
      <c r="R261">
        <v>143</v>
      </c>
      <c r="S261">
        <v>35</v>
      </c>
      <c r="T261">
        <v>200</v>
      </c>
      <c r="U261">
        <v>123</v>
      </c>
      <c r="V261">
        <v>35</v>
      </c>
      <c r="W261">
        <v>123</v>
      </c>
      <c r="X261">
        <v>211</v>
      </c>
      <c r="Y261">
        <v>138</v>
      </c>
      <c r="Z261">
        <v>229</v>
      </c>
      <c r="AA261">
        <v>106</v>
      </c>
      <c r="AB261">
        <v>13</v>
      </c>
      <c r="AC261">
        <v>155</v>
      </c>
      <c r="AD261">
        <v>22</v>
      </c>
      <c r="AE261">
        <v>96</v>
      </c>
      <c r="AF261">
        <v>52</v>
      </c>
      <c r="AG261">
        <v>67</v>
      </c>
      <c r="AH261">
        <v>59</v>
      </c>
      <c r="AI261">
        <v>14</v>
      </c>
      <c r="AJ261">
        <v>86</v>
      </c>
      <c r="AK261">
        <v>53</v>
      </c>
      <c r="AL261">
        <v>155</v>
      </c>
    </row>
    <row r="262" spans="6:38" x14ac:dyDescent="0.25">
      <c r="F262" s="36">
        <v>249</v>
      </c>
      <c r="G262">
        <v>208</v>
      </c>
      <c r="H262">
        <v>170</v>
      </c>
      <c r="I262">
        <v>130</v>
      </c>
      <c r="J262">
        <v>98</v>
      </c>
      <c r="K262">
        <v>160</v>
      </c>
      <c r="L262">
        <v>247</v>
      </c>
      <c r="M262">
        <v>146</v>
      </c>
      <c r="N262">
        <v>254</v>
      </c>
      <c r="O262">
        <v>45</v>
      </c>
      <c r="P262">
        <v>24</v>
      </c>
      <c r="Q262">
        <v>118</v>
      </c>
      <c r="R262">
        <v>9</v>
      </c>
      <c r="S262">
        <v>189</v>
      </c>
      <c r="T262">
        <v>77</v>
      </c>
      <c r="U262">
        <v>18</v>
      </c>
      <c r="V262">
        <v>162</v>
      </c>
      <c r="W262">
        <v>252</v>
      </c>
      <c r="X262">
        <v>110</v>
      </c>
      <c r="Y262">
        <v>112</v>
      </c>
      <c r="Z262">
        <v>39</v>
      </c>
      <c r="AA262">
        <v>202</v>
      </c>
      <c r="AB262">
        <v>64</v>
      </c>
      <c r="AC262">
        <v>243</v>
      </c>
      <c r="AD262">
        <v>254</v>
      </c>
      <c r="AE262">
        <v>187</v>
      </c>
      <c r="AF262">
        <v>48</v>
      </c>
      <c r="AG262">
        <v>142</v>
      </c>
      <c r="AH262">
        <v>220</v>
      </c>
      <c r="AI262">
        <v>5</v>
      </c>
      <c r="AJ262">
        <v>254</v>
      </c>
      <c r="AK262">
        <v>195</v>
      </c>
      <c r="AL262">
        <v>68</v>
      </c>
    </row>
    <row r="263" spans="6:38" x14ac:dyDescent="0.25">
      <c r="F263" s="36">
        <v>250</v>
      </c>
      <c r="G263">
        <v>176</v>
      </c>
      <c r="H263">
        <v>162</v>
      </c>
      <c r="I263">
        <v>107</v>
      </c>
      <c r="J263">
        <v>63</v>
      </c>
      <c r="K263">
        <v>45</v>
      </c>
      <c r="L263">
        <v>31</v>
      </c>
      <c r="M263">
        <v>166</v>
      </c>
      <c r="N263">
        <v>174</v>
      </c>
      <c r="O263">
        <v>104</v>
      </c>
      <c r="P263">
        <v>113</v>
      </c>
      <c r="Q263">
        <v>245</v>
      </c>
      <c r="R263">
        <v>133</v>
      </c>
      <c r="S263">
        <v>237</v>
      </c>
      <c r="T263">
        <v>254</v>
      </c>
      <c r="U263">
        <v>123</v>
      </c>
      <c r="V263">
        <v>84</v>
      </c>
      <c r="W263">
        <v>99</v>
      </c>
      <c r="X263">
        <v>232</v>
      </c>
      <c r="Y263">
        <v>230</v>
      </c>
      <c r="Z263">
        <v>141</v>
      </c>
      <c r="AA263">
        <v>177</v>
      </c>
      <c r="AB263">
        <v>247</v>
      </c>
      <c r="AC263">
        <v>150</v>
      </c>
      <c r="AD263">
        <v>248</v>
      </c>
      <c r="AE263">
        <v>66</v>
      </c>
      <c r="AF263">
        <v>42</v>
      </c>
      <c r="AG263">
        <v>238</v>
      </c>
      <c r="AH263">
        <v>80</v>
      </c>
      <c r="AI263">
        <v>33</v>
      </c>
      <c r="AJ263">
        <v>57</v>
      </c>
      <c r="AK263">
        <v>82</v>
      </c>
      <c r="AL263">
        <v>28</v>
      </c>
    </row>
    <row r="264" spans="6:38" x14ac:dyDescent="0.25">
      <c r="F264" s="36">
        <v>251</v>
      </c>
      <c r="G264">
        <v>250</v>
      </c>
      <c r="H264">
        <v>204</v>
      </c>
      <c r="I264">
        <v>198</v>
      </c>
      <c r="J264">
        <v>142</v>
      </c>
      <c r="K264">
        <v>86</v>
      </c>
      <c r="L264">
        <v>169</v>
      </c>
      <c r="M264">
        <v>109</v>
      </c>
      <c r="N264">
        <v>255</v>
      </c>
      <c r="O264">
        <v>6</v>
      </c>
      <c r="P264">
        <v>222</v>
      </c>
      <c r="Q264">
        <v>157</v>
      </c>
      <c r="R264">
        <v>251</v>
      </c>
      <c r="S264">
        <v>195</v>
      </c>
      <c r="T264">
        <v>39</v>
      </c>
      <c r="U264">
        <v>118</v>
      </c>
      <c r="V264">
        <v>240</v>
      </c>
      <c r="W264">
        <v>42</v>
      </c>
      <c r="X264">
        <v>84</v>
      </c>
      <c r="Y264">
        <v>84</v>
      </c>
      <c r="Z264">
        <v>251</v>
      </c>
      <c r="AA264">
        <v>25</v>
      </c>
      <c r="AB264">
        <v>163</v>
      </c>
      <c r="AC264">
        <v>235</v>
      </c>
      <c r="AD264">
        <v>241</v>
      </c>
      <c r="AE264">
        <v>185</v>
      </c>
      <c r="AF264">
        <v>75</v>
      </c>
      <c r="AG264">
        <v>157</v>
      </c>
      <c r="AH264">
        <v>222</v>
      </c>
      <c r="AI264">
        <v>221</v>
      </c>
      <c r="AJ264">
        <v>42</v>
      </c>
      <c r="AK264">
        <v>204</v>
      </c>
      <c r="AL264">
        <v>248</v>
      </c>
    </row>
    <row r="265" spans="6:38" x14ac:dyDescent="0.25">
      <c r="F265" s="36">
        <v>252</v>
      </c>
      <c r="G265">
        <v>254</v>
      </c>
      <c r="H265">
        <v>210</v>
      </c>
      <c r="I265">
        <v>228</v>
      </c>
      <c r="J265">
        <v>211</v>
      </c>
      <c r="K265">
        <v>20</v>
      </c>
      <c r="L265">
        <v>24</v>
      </c>
      <c r="M265">
        <v>250</v>
      </c>
      <c r="N265">
        <v>142</v>
      </c>
      <c r="O265">
        <v>190</v>
      </c>
      <c r="P265">
        <v>216</v>
      </c>
      <c r="Q265">
        <v>95</v>
      </c>
      <c r="R265">
        <v>41</v>
      </c>
      <c r="S265">
        <v>250</v>
      </c>
      <c r="T265">
        <v>178</v>
      </c>
      <c r="U265">
        <v>243</v>
      </c>
      <c r="V265">
        <v>187</v>
      </c>
      <c r="W265">
        <v>69</v>
      </c>
      <c r="X265">
        <v>2</v>
      </c>
      <c r="Y265">
        <v>212</v>
      </c>
      <c r="Z265">
        <v>176</v>
      </c>
      <c r="AA265">
        <v>215</v>
      </c>
      <c r="AB265">
        <v>130</v>
      </c>
      <c r="AC265">
        <v>77</v>
      </c>
      <c r="AD265">
        <v>13</v>
      </c>
      <c r="AE265">
        <v>43</v>
      </c>
      <c r="AF265">
        <v>18</v>
      </c>
      <c r="AG265">
        <v>45</v>
      </c>
      <c r="AH265">
        <v>207</v>
      </c>
      <c r="AI265">
        <v>1</v>
      </c>
      <c r="AJ265">
        <v>238</v>
      </c>
      <c r="AK265">
        <v>149</v>
      </c>
      <c r="AL265">
        <v>83</v>
      </c>
    </row>
    <row r="266" spans="6:38" x14ac:dyDescent="0.25">
      <c r="F266" s="36">
        <v>253</v>
      </c>
      <c r="G266">
        <v>40</v>
      </c>
      <c r="H266">
        <v>126</v>
      </c>
      <c r="I266">
        <v>18</v>
      </c>
      <c r="J266">
        <v>174</v>
      </c>
      <c r="K266">
        <v>64</v>
      </c>
      <c r="L266">
        <v>92</v>
      </c>
      <c r="M266">
        <v>127</v>
      </c>
      <c r="N266">
        <v>194</v>
      </c>
      <c r="O266">
        <v>34</v>
      </c>
      <c r="P266">
        <v>96</v>
      </c>
      <c r="Q266">
        <v>193</v>
      </c>
      <c r="R266">
        <v>29</v>
      </c>
      <c r="S266">
        <v>30</v>
      </c>
      <c r="T266">
        <v>200</v>
      </c>
      <c r="U266">
        <v>147</v>
      </c>
      <c r="V266">
        <v>165</v>
      </c>
      <c r="W266">
        <v>27</v>
      </c>
      <c r="X266">
        <v>39</v>
      </c>
      <c r="Y266">
        <v>140</v>
      </c>
      <c r="Z266">
        <v>141</v>
      </c>
      <c r="AA266">
        <v>203</v>
      </c>
      <c r="AB266">
        <v>193</v>
      </c>
      <c r="AC266">
        <v>219</v>
      </c>
      <c r="AD266">
        <v>162</v>
      </c>
      <c r="AE266">
        <v>193</v>
      </c>
      <c r="AF266">
        <v>171</v>
      </c>
      <c r="AG266">
        <v>123</v>
      </c>
      <c r="AH266">
        <v>236</v>
      </c>
      <c r="AI266">
        <v>26</v>
      </c>
      <c r="AJ266">
        <v>111</v>
      </c>
      <c r="AK266">
        <v>52</v>
      </c>
      <c r="AL266">
        <v>204</v>
      </c>
    </row>
    <row r="267" spans="6:38" x14ac:dyDescent="0.25">
      <c r="F267" s="36">
        <v>254</v>
      </c>
      <c r="G267">
        <v>57</v>
      </c>
      <c r="H267">
        <v>10</v>
      </c>
      <c r="I267">
        <v>123</v>
      </c>
      <c r="J267">
        <v>67</v>
      </c>
      <c r="K267">
        <v>229</v>
      </c>
      <c r="L267">
        <v>150</v>
      </c>
      <c r="M267">
        <v>67</v>
      </c>
      <c r="N267">
        <v>0</v>
      </c>
      <c r="O267">
        <v>41</v>
      </c>
      <c r="P267">
        <v>243</v>
      </c>
      <c r="Q267">
        <v>87</v>
      </c>
      <c r="R267">
        <v>35</v>
      </c>
      <c r="S267">
        <v>199</v>
      </c>
      <c r="T267">
        <v>35</v>
      </c>
      <c r="U267">
        <v>215</v>
      </c>
      <c r="V267">
        <v>108</v>
      </c>
      <c r="W267">
        <v>56</v>
      </c>
      <c r="X267">
        <v>136</v>
      </c>
      <c r="Y267">
        <v>34</v>
      </c>
      <c r="Z267">
        <v>94</v>
      </c>
      <c r="AA267">
        <v>119</v>
      </c>
      <c r="AB267">
        <v>232</v>
      </c>
      <c r="AC267">
        <v>80</v>
      </c>
      <c r="AD267">
        <v>61</v>
      </c>
      <c r="AE267">
        <v>3</v>
      </c>
      <c r="AF267">
        <v>252</v>
      </c>
      <c r="AG267">
        <v>101</v>
      </c>
      <c r="AH267">
        <v>226</v>
      </c>
      <c r="AI267">
        <v>0</v>
      </c>
      <c r="AJ267">
        <v>162</v>
      </c>
      <c r="AK267">
        <v>231</v>
      </c>
      <c r="AL267">
        <v>158</v>
      </c>
    </row>
    <row r="268" spans="6:38" x14ac:dyDescent="0.25">
      <c r="F268" s="36">
        <v>255</v>
      </c>
      <c r="G268">
        <v>40</v>
      </c>
      <c r="H268">
        <v>103</v>
      </c>
      <c r="I268">
        <v>22</v>
      </c>
      <c r="J268">
        <v>40</v>
      </c>
      <c r="K268">
        <v>146</v>
      </c>
      <c r="L268">
        <v>5</v>
      </c>
      <c r="M268">
        <v>164</v>
      </c>
      <c r="N268">
        <v>168</v>
      </c>
      <c r="O268">
        <v>123</v>
      </c>
      <c r="P268">
        <v>19</v>
      </c>
      <c r="Q268">
        <v>63</v>
      </c>
      <c r="R268">
        <v>127</v>
      </c>
      <c r="S268">
        <v>237</v>
      </c>
      <c r="T268">
        <v>130</v>
      </c>
      <c r="U268">
        <v>99</v>
      </c>
      <c r="V268">
        <v>1</v>
      </c>
      <c r="W268">
        <v>82</v>
      </c>
      <c r="X268">
        <v>119</v>
      </c>
      <c r="Y268">
        <v>0</v>
      </c>
      <c r="Z268">
        <v>238</v>
      </c>
      <c r="AA268">
        <v>69</v>
      </c>
      <c r="AB268">
        <v>105</v>
      </c>
      <c r="AC268">
        <v>72</v>
      </c>
      <c r="AD268">
        <v>151</v>
      </c>
      <c r="AE268">
        <v>22</v>
      </c>
      <c r="AF268">
        <v>223</v>
      </c>
      <c r="AG268">
        <v>33</v>
      </c>
      <c r="AH268">
        <v>71</v>
      </c>
      <c r="AI268">
        <v>182</v>
      </c>
      <c r="AJ268">
        <v>41</v>
      </c>
      <c r="AK268">
        <v>0</v>
      </c>
      <c r="AL268">
        <v>209</v>
      </c>
    </row>
  </sheetData>
  <mergeCells count="2">
    <mergeCell ref="A1:C1"/>
    <mergeCell ref="A6:C6"/>
  </mergeCells>
  <phoneticPr fontId="3" type="noConversion"/>
  <pageMargins left="0.7" right="0.7" top="0.75" bottom="0.75" header="0.3" footer="0.3"/>
  <ignoredErrors>
    <ignoredError sqref="C8" formula="1"/>
  </ignoredErrors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377E4-8FA0-4CC7-AF3D-D3F0DFFA51E9}">
  <sheetPr codeName="Folha3"/>
  <dimension ref="A1:U127"/>
  <sheetViews>
    <sheetView topLeftCell="A151" workbookViewId="0">
      <selection activeCell="B41" sqref="B41"/>
    </sheetView>
  </sheetViews>
  <sheetFormatPr defaultRowHeight="15" x14ac:dyDescent="0.25"/>
  <cols>
    <col min="1" max="1" width="14.7109375" bestFit="1" customWidth="1"/>
    <col min="2" max="2" width="11.28515625" customWidth="1"/>
    <col min="4" max="4" width="11.7109375" bestFit="1" customWidth="1"/>
    <col min="5" max="5" width="9.85546875" bestFit="1" customWidth="1"/>
    <col min="6" max="6" width="11" bestFit="1" customWidth="1"/>
    <col min="10" max="10" width="8.85546875" customWidth="1"/>
  </cols>
  <sheetData>
    <row r="1" spans="1:21" x14ac:dyDescent="0.25">
      <c r="A1" t="s">
        <v>7</v>
      </c>
      <c r="B1" s="2" t="s">
        <v>8</v>
      </c>
      <c r="C1" s="2">
        <v>1</v>
      </c>
      <c r="D1" s="2" t="s">
        <v>29</v>
      </c>
      <c r="E1" s="2" t="s">
        <v>30</v>
      </c>
      <c r="F1" s="3" t="s">
        <v>31</v>
      </c>
      <c r="G1" s="3">
        <v>6</v>
      </c>
      <c r="H1" s="3">
        <v>7</v>
      </c>
      <c r="I1" s="3" t="s">
        <v>32</v>
      </c>
      <c r="J1" s="4" t="s">
        <v>33</v>
      </c>
      <c r="K1" s="4">
        <v>10</v>
      </c>
      <c r="L1" s="4">
        <v>11</v>
      </c>
      <c r="M1" s="4">
        <v>12</v>
      </c>
      <c r="N1" s="5" t="s">
        <v>34</v>
      </c>
      <c r="O1" s="5" t="s">
        <v>35</v>
      </c>
      <c r="P1" s="5">
        <v>15</v>
      </c>
      <c r="Q1" s="5">
        <v>16</v>
      </c>
      <c r="R1" s="6">
        <v>17</v>
      </c>
      <c r="S1" s="6">
        <v>18</v>
      </c>
      <c r="T1" s="6">
        <v>19</v>
      </c>
      <c r="U1" s="6">
        <v>20</v>
      </c>
    </row>
    <row r="3" spans="1:21" x14ac:dyDescent="0.25">
      <c r="A3" s="2" t="s">
        <v>9</v>
      </c>
      <c r="B3" t="str">
        <f>IF(ISTEXT(B1),DEC2BIN(CODE(B1),8),DEC2BIN(B1,8))</f>
        <v>01100001</v>
      </c>
    </row>
    <row r="4" spans="1:21" x14ac:dyDescent="0.25">
      <c r="A4" s="2" t="s">
        <v>10</v>
      </c>
      <c r="B4" t="str">
        <f>IF(ISTEXT(C1),DEC2BIN(CODE(C1),8),DEC2BIN(C1,8))</f>
        <v>00000001</v>
      </c>
    </row>
    <row r="5" spans="1:21" x14ac:dyDescent="0.25">
      <c r="A5" s="2" t="s">
        <v>11</v>
      </c>
      <c r="B5" t="str">
        <f>IF(ISTEXT(D1),DEC2BIN(CODE(D1),8),DEC2BIN(D1,8))</f>
        <v>01100010</v>
      </c>
    </row>
    <row r="6" spans="1:21" x14ac:dyDescent="0.25">
      <c r="A6" s="2" t="s">
        <v>12</v>
      </c>
      <c r="B6" t="str">
        <f>IF(ISTEXT(E1),DEC2BIN(CODE(E1),8),DEC2BIN(E1,8))</f>
        <v>01100011</v>
      </c>
    </row>
    <row r="8" spans="1:21" x14ac:dyDescent="0.25">
      <c r="A8" s="2" t="s">
        <v>36</v>
      </c>
      <c r="B8" t="str">
        <f>B3&amp;B4&amp;B5&amp;B6</f>
        <v>01100001000000010110001001100011</v>
      </c>
    </row>
    <row r="11" spans="1:21" x14ac:dyDescent="0.25">
      <c r="A11" s="7" t="s">
        <v>0</v>
      </c>
    </row>
    <row r="14" spans="1:21" x14ac:dyDescent="0.25">
      <c r="A14" s="7" t="s">
        <v>1</v>
      </c>
      <c r="B14" t="str">
        <f>RIGHT(B8,2)&amp;LEFT(B8,30)</f>
        <v>11011000010000000101100010011000</v>
      </c>
      <c r="F14">
        <f>BIN2DEC(LEFT(B14,8))</f>
        <v>216</v>
      </c>
      <c r="G14">
        <f>BIN2DEC(MID(B14,9,8))</f>
        <v>64</v>
      </c>
      <c r="H14">
        <f>BIN2DEC(MID(B14,17,8))</f>
        <v>88</v>
      </c>
      <c r="I14">
        <f>BIN2DEC(RIGHT(B14,8))</f>
        <v>152</v>
      </c>
    </row>
    <row r="16" spans="1:21" x14ac:dyDescent="0.25">
      <c r="A16" s="7" t="s">
        <v>37</v>
      </c>
      <c r="B16" t="str">
        <f>RIGHT(B8,13)&amp;LEFT(B8,19)</f>
        <v>00010011000110110000100000001011</v>
      </c>
      <c r="F16">
        <f>BIN2DEC(LEFT(B16,8))</f>
        <v>19</v>
      </c>
      <c r="G16">
        <f>BIN2DEC(MID(B16,9,8))</f>
        <v>27</v>
      </c>
      <c r="H16">
        <f>BIN2DEC(MID(B16,17,8))</f>
        <v>8</v>
      </c>
      <c r="I16">
        <f>BIN2DEC(RIGHT(B16,8))</f>
        <v>11</v>
      </c>
    </row>
    <row r="18" spans="1:12" x14ac:dyDescent="0.25">
      <c r="A18" s="7" t="s">
        <v>3</v>
      </c>
      <c r="B18" t="str">
        <f>RIGHT(B8,22)&amp;LEFT(B8,10)</f>
        <v>00000101100010011000110110000100</v>
      </c>
      <c r="F18">
        <f>BIN2DEC(LEFT(B18,8))</f>
        <v>5</v>
      </c>
      <c r="G18">
        <f>BIN2DEC(MID(B18,9,8))</f>
        <v>137</v>
      </c>
      <c r="H18">
        <f>BIN2DEC(MID(B18,17,8))</f>
        <v>141</v>
      </c>
      <c r="I18">
        <f>BIN2DEC(RIGHT(B18,8))</f>
        <v>132</v>
      </c>
    </row>
    <row r="20" spans="1:12" x14ac:dyDescent="0.25">
      <c r="F20">
        <f>_xlfn.BITXOR(_xlfn.BITXOR(F14,F16),F18)</f>
        <v>206</v>
      </c>
      <c r="G20">
        <f>_xlfn.BITXOR(_xlfn.BITXOR(G14,G16),G18)</f>
        <v>210</v>
      </c>
      <c r="H20">
        <f>_xlfn.BITXOR(_xlfn.BITXOR(H14,H16),H18)</f>
        <v>221</v>
      </c>
      <c r="I20">
        <f>_xlfn.BITXOR(_xlfn.BITXOR(I14,I16),I18)</f>
        <v>23</v>
      </c>
    </row>
    <row r="22" spans="1:12" x14ac:dyDescent="0.25">
      <c r="E22" s="7" t="s">
        <v>4</v>
      </c>
      <c r="F22">
        <f>F20*256^3+G20*256^2+H20*256+I20</f>
        <v>3469925655</v>
      </c>
      <c r="J22">
        <f>TRUNC(F22/(256^3))</f>
        <v>206</v>
      </c>
      <c r="K22">
        <f>MOD(F22,256^3)</f>
        <v>13819159</v>
      </c>
      <c r="L22" t="str">
        <f>DEC2BIN(J22,8)</f>
        <v>11001110</v>
      </c>
    </row>
    <row r="24" spans="1:12" x14ac:dyDescent="0.25">
      <c r="F24">
        <f>K22</f>
        <v>13819159</v>
      </c>
      <c r="J24">
        <f>TRUNC(F24/(256^2))</f>
        <v>210</v>
      </c>
      <c r="K24">
        <f>MOD(F24,256^2)</f>
        <v>56599</v>
      </c>
      <c r="L24" t="str">
        <f>DEC2BIN(J24,8)</f>
        <v>11010010</v>
      </c>
    </row>
    <row r="26" spans="1:12" x14ac:dyDescent="0.25">
      <c r="F26">
        <f>K24</f>
        <v>56599</v>
      </c>
      <c r="J26">
        <f>TRUNC(F26/(256))</f>
        <v>221</v>
      </c>
      <c r="K26">
        <f>MOD(F26,256)</f>
        <v>23</v>
      </c>
      <c r="L26" t="str">
        <f>DEC2BIN(J26,8)</f>
        <v>11011101</v>
      </c>
    </row>
    <row r="28" spans="1:12" x14ac:dyDescent="0.25">
      <c r="F28">
        <f>K26</f>
        <v>23</v>
      </c>
      <c r="J28">
        <f>F28</f>
        <v>23</v>
      </c>
      <c r="K28">
        <f>J28</f>
        <v>23</v>
      </c>
      <c r="L28" t="str">
        <f>DEC2BIN(J28,8)</f>
        <v>00010111</v>
      </c>
    </row>
    <row r="30" spans="1:12" x14ac:dyDescent="0.25">
      <c r="E30" s="7" t="s">
        <v>4</v>
      </c>
      <c r="F30" t="str">
        <f>L22&amp;L24&amp;L26&amp;L28</f>
        <v>11001110110100101101110100010111</v>
      </c>
    </row>
    <row r="31" spans="1:12" x14ac:dyDescent="0.25">
      <c r="E31" s="7"/>
    </row>
    <row r="32" spans="1:12" x14ac:dyDescent="0.25">
      <c r="A32" s="2" t="s">
        <v>36</v>
      </c>
      <c r="B32" t="str">
        <f>B3&amp;B4&amp;B5&amp;B6</f>
        <v>01100001000000010110001001100011</v>
      </c>
      <c r="E32" s="7"/>
    </row>
    <row r="34" spans="1:12" x14ac:dyDescent="0.25">
      <c r="A34" s="7" t="s">
        <v>38</v>
      </c>
    </row>
    <row r="37" spans="1:12" x14ac:dyDescent="0.25">
      <c r="A37" s="7" t="s">
        <v>39</v>
      </c>
      <c r="B37" t="str">
        <f>RIGHT(B32,6)&amp;LEFT(B32,26)</f>
        <v>10001101100001000000010110001001</v>
      </c>
      <c r="F37">
        <f>BIN2DEC(LEFT(B37,8))</f>
        <v>141</v>
      </c>
      <c r="G37">
        <f>BIN2DEC(MID(B37,9,8))</f>
        <v>132</v>
      </c>
      <c r="H37">
        <f>BIN2DEC(MID(B37,17,8))</f>
        <v>5</v>
      </c>
      <c r="I37">
        <f>BIN2DEC(RIGHT(B37,8))</f>
        <v>137</v>
      </c>
    </row>
    <row r="39" spans="1:12" x14ac:dyDescent="0.25">
      <c r="A39" s="7" t="s">
        <v>40</v>
      </c>
      <c r="B39" t="str">
        <f>RIGHT(B32,11)&amp;LEFT(B32,21)</f>
        <v>01001100011011000010000000101100</v>
      </c>
      <c r="F39">
        <f>BIN2DEC(LEFT(B39,8))</f>
        <v>76</v>
      </c>
      <c r="G39">
        <f>BIN2DEC(MID(B39,9,8))</f>
        <v>108</v>
      </c>
      <c r="H39">
        <f>BIN2DEC(MID(B39,17,8))</f>
        <v>32</v>
      </c>
      <c r="I39">
        <f>BIN2DEC(RIGHT(B39,8))</f>
        <v>44</v>
      </c>
    </row>
    <row r="41" spans="1:12" x14ac:dyDescent="0.25">
      <c r="A41" s="7" t="s">
        <v>41</v>
      </c>
      <c r="B41" t="str">
        <f>RIGHT(B32,25)&amp;LEFT(B32,7)</f>
        <v>10000000101100010011000110110000</v>
      </c>
      <c r="F41">
        <f>BIN2DEC(LEFT(B41,8))</f>
        <v>128</v>
      </c>
      <c r="G41">
        <f>BIN2DEC(MID(B41,9,8))</f>
        <v>177</v>
      </c>
      <c r="H41">
        <f>BIN2DEC(MID(B41,17,8))</f>
        <v>49</v>
      </c>
      <c r="I41">
        <f>BIN2DEC(RIGHT(B41,8))</f>
        <v>176</v>
      </c>
    </row>
    <row r="43" spans="1:12" x14ac:dyDescent="0.25">
      <c r="F43">
        <f>_xlfn.BITXOR(_xlfn.BITXOR(F37,F39),F41)</f>
        <v>65</v>
      </c>
      <c r="G43">
        <f>_xlfn.BITXOR(_xlfn.BITXOR(G37,G39),G41)</f>
        <v>89</v>
      </c>
      <c r="H43">
        <f>_xlfn.BITXOR(_xlfn.BITXOR(H37,H39),H41)</f>
        <v>20</v>
      </c>
      <c r="I43">
        <f>_xlfn.BITXOR(_xlfn.BITXOR(I37,I39),I41)</f>
        <v>21</v>
      </c>
    </row>
    <row r="45" spans="1:12" x14ac:dyDescent="0.25">
      <c r="E45" s="7" t="s">
        <v>42</v>
      </c>
      <c r="F45">
        <f>F43*256^3+G43*256^2+H43*256+I43</f>
        <v>1096356885</v>
      </c>
      <c r="J45">
        <f>TRUNC(F45/(256^3))</f>
        <v>65</v>
      </c>
      <c r="K45">
        <f>MOD(F45,256^3)</f>
        <v>5837845</v>
      </c>
      <c r="L45" t="str">
        <f>DEC2BIN(J45,8)</f>
        <v>01000001</v>
      </c>
    </row>
    <row r="47" spans="1:12" x14ac:dyDescent="0.25">
      <c r="F47">
        <f>K45</f>
        <v>5837845</v>
      </c>
      <c r="J47">
        <f>TRUNC(F47/(256^2))</f>
        <v>89</v>
      </c>
      <c r="K47">
        <f>MOD(F47,256^2)</f>
        <v>5141</v>
      </c>
      <c r="L47" t="str">
        <f>DEC2BIN(J47,8)</f>
        <v>01011001</v>
      </c>
    </row>
    <row r="49" spans="1:12" x14ac:dyDescent="0.25">
      <c r="F49">
        <f>K47</f>
        <v>5141</v>
      </c>
      <c r="J49">
        <f>TRUNC(F49/(256))</f>
        <v>20</v>
      </c>
      <c r="K49">
        <f>MOD(F49,256)</f>
        <v>21</v>
      </c>
      <c r="L49" t="str">
        <f>DEC2BIN(K49,8)</f>
        <v>00010101</v>
      </c>
    </row>
    <row r="51" spans="1:12" x14ac:dyDescent="0.25">
      <c r="F51">
        <f>J49</f>
        <v>20</v>
      </c>
      <c r="J51">
        <f>F51</f>
        <v>20</v>
      </c>
      <c r="K51">
        <f>J51</f>
        <v>20</v>
      </c>
      <c r="L51" t="str">
        <f>DEC2BIN(K51,8)</f>
        <v>00010100</v>
      </c>
    </row>
    <row r="53" spans="1:12" x14ac:dyDescent="0.25">
      <c r="E53" s="7" t="s">
        <v>42</v>
      </c>
      <c r="F53" t="str">
        <f>L45&amp;L47&amp;L49&amp;L51</f>
        <v>01000001010110010001010100010100</v>
      </c>
    </row>
    <row r="54" spans="1:12" x14ac:dyDescent="0.25">
      <c r="E54" s="7"/>
    </row>
    <row r="55" spans="1:12" x14ac:dyDescent="0.25">
      <c r="A55" s="2" t="s">
        <v>36</v>
      </c>
      <c r="B55" t="str">
        <f>B3&amp;B4&amp;B5&amp;B6</f>
        <v>01100001000000010110001001100011</v>
      </c>
      <c r="E55" s="7"/>
    </row>
    <row r="56" spans="1:12" x14ac:dyDescent="0.25">
      <c r="E56" s="7"/>
    </row>
    <row r="57" spans="1:12" x14ac:dyDescent="0.25">
      <c r="A57" s="7" t="s">
        <v>43</v>
      </c>
      <c r="E57" s="7"/>
    </row>
    <row r="58" spans="1:12" x14ac:dyDescent="0.25">
      <c r="E58" s="7"/>
    </row>
    <row r="59" spans="1:12" x14ac:dyDescent="0.25">
      <c r="E59" s="7"/>
    </row>
    <row r="60" spans="1:12" x14ac:dyDescent="0.25">
      <c r="E60" s="7"/>
    </row>
    <row r="61" spans="1:12" x14ac:dyDescent="0.25">
      <c r="E61" s="7"/>
    </row>
    <row r="62" spans="1:12" x14ac:dyDescent="0.25">
      <c r="E62" s="7"/>
    </row>
    <row r="63" spans="1:12" x14ac:dyDescent="0.25">
      <c r="E63" s="7"/>
    </row>
    <row r="64" spans="1:12" x14ac:dyDescent="0.25">
      <c r="E64" s="7"/>
    </row>
    <row r="65" spans="5:5" x14ac:dyDescent="0.25">
      <c r="E65" s="7"/>
    </row>
    <row r="66" spans="5:5" x14ac:dyDescent="0.25">
      <c r="E66" s="7"/>
    </row>
    <row r="67" spans="5:5" x14ac:dyDescent="0.25">
      <c r="E67" s="7"/>
    </row>
    <row r="68" spans="5:5" x14ac:dyDescent="0.25">
      <c r="E68" s="7"/>
    </row>
    <row r="69" spans="5:5" x14ac:dyDescent="0.25">
      <c r="E69" s="7"/>
    </row>
    <row r="70" spans="5:5" x14ac:dyDescent="0.25">
      <c r="E70" s="7"/>
    </row>
    <row r="71" spans="5:5" x14ac:dyDescent="0.25">
      <c r="E71" s="7"/>
    </row>
    <row r="72" spans="5:5" x14ac:dyDescent="0.25">
      <c r="E72" s="7"/>
    </row>
    <row r="73" spans="5:5" x14ac:dyDescent="0.25">
      <c r="E73" s="7"/>
    </row>
    <row r="74" spans="5:5" x14ac:dyDescent="0.25">
      <c r="E74" s="7"/>
    </row>
    <row r="75" spans="5:5" x14ac:dyDescent="0.25">
      <c r="E75" s="7"/>
    </row>
    <row r="76" spans="5:5" x14ac:dyDescent="0.25">
      <c r="E76" s="7"/>
    </row>
    <row r="77" spans="5:5" x14ac:dyDescent="0.25">
      <c r="E77" s="7"/>
    </row>
    <row r="78" spans="5:5" x14ac:dyDescent="0.25">
      <c r="E78" s="7"/>
    </row>
    <row r="79" spans="5:5" x14ac:dyDescent="0.25">
      <c r="E79" s="7"/>
    </row>
    <row r="80" spans="5:5" x14ac:dyDescent="0.25">
      <c r="E80" s="7"/>
    </row>
    <row r="81" spans="1:5" x14ac:dyDescent="0.25">
      <c r="E81" s="7"/>
    </row>
    <row r="82" spans="1:5" x14ac:dyDescent="0.25">
      <c r="E82" s="7"/>
    </row>
    <row r="83" spans="1:5" x14ac:dyDescent="0.25">
      <c r="E83" s="7"/>
    </row>
    <row r="86" spans="1:5" x14ac:dyDescent="0.25">
      <c r="A86" s="3" t="s">
        <v>13</v>
      </c>
      <c r="B86" t="str">
        <f>IF(ISTEXT(F1),DEC2BIN(CODE(F1),8),DEC2BIN(F1,8))</f>
        <v>01100100</v>
      </c>
    </row>
    <row r="87" spans="1:5" x14ac:dyDescent="0.25">
      <c r="A87" s="3" t="s">
        <v>14</v>
      </c>
      <c r="B87" t="str">
        <f>IF(ISTEXT(G1),DEC2BIN(CODE(G1),8),DEC2BIN(G1,8))</f>
        <v>00000110</v>
      </c>
    </row>
    <row r="88" spans="1:5" x14ac:dyDescent="0.25">
      <c r="A88" s="3" t="s">
        <v>15</v>
      </c>
      <c r="B88" t="str">
        <f>IF(ISTEXT(H1),DEC2BIN(CODE(H1),8),DEC2BIN(H1,8))</f>
        <v>00000111</v>
      </c>
    </row>
    <row r="89" spans="1:5" x14ac:dyDescent="0.25">
      <c r="A89" s="3" t="s">
        <v>16</v>
      </c>
      <c r="B89" t="str">
        <f>IF(ISTEXT(I1),DEC2BIN(CODE(I1),8),DEC2BIN(I1,8))</f>
        <v>00101110</v>
      </c>
    </row>
    <row r="91" spans="1:5" x14ac:dyDescent="0.25">
      <c r="A91" s="3" t="s">
        <v>36</v>
      </c>
      <c r="B91" t="str">
        <f>B86&amp;B87&amp;B88&amp;B89</f>
        <v>01100100000001100000011100101110</v>
      </c>
    </row>
    <row r="102" spans="1:2" x14ac:dyDescent="0.25">
      <c r="A102" s="4" t="s">
        <v>17</v>
      </c>
      <c r="B102" t="str">
        <f>IF(ISTEXT(J1),DEC2BIN(CODE(J1),8),DEC2BIN(J1,8))</f>
        <v>01011111</v>
      </c>
    </row>
    <row r="103" spans="1:2" x14ac:dyDescent="0.25">
      <c r="A103" s="4" t="s">
        <v>18</v>
      </c>
      <c r="B103" t="str">
        <f>IF(ISTEXT(K1),DEC2BIN(CODE(K1),8),DEC2BIN(K1,8))</f>
        <v>00001010</v>
      </c>
    </row>
    <row r="104" spans="1:2" x14ac:dyDescent="0.25">
      <c r="A104" s="4" t="s">
        <v>19</v>
      </c>
      <c r="B104" t="str">
        <f>IF(ISTEXT(L1),DEC2BIN(CODE(L1),8),DEC2BIN(L1,8))</f>
        <v>00001011</v>
      </c>
    </row>
    <row r="105" spans="1:2" x14ac:dyDescent="0.25">
      <c r="A105" s="4" t="s">
        <v>20</v>
      </c>
      <c r="B105" t="str">
        <f>IF(ISTEXT(M1),DEC2BIN(CODE(M1),8),DEC2BIN(M1,8))</f>
        <v>00001100</v>
      </c>
    </row>
    <row r="107" spans="1:2" x14ac:dyDescent="0.25">
      <c r="A107" s="4" t="s">
        <v>36</v>
      </c>
      <c r="B107" t="str">
        <f>B102&amp;B103&amp;B104&amp;B105</f>
        <v>01011111000010100000101100001100</v>
      </c>
    </row>
    <row r="114" spans="1:2" x14ac:dyDescent="0.25">
      <c r="A114" s="5" t="s">
        <v>21</v>
      </c>
      <c r="B114" t="str">
        <f>IF(ISTEXT(N1),DEC2BIN(CODE(N1),8),DEC2BIN(N1,8))</f>
        <v>01100111</v>
      </c>
    </row>
    <row r="115" spans="1:2" x14ac:dyDescent="0.25">
      <c r="A115" s="5" t="s">
        <v>22</v>
      </c>
      <c r="B115" t="str">
        <f>IF(ISTEXT(O1),DEC2BIN(CODE(O1),8),DEC2BIN(O1,8))</f>
        <v>01110000</v>
      </c>
    </row>
    <row r="116" spans="1:2" x14ac:dyDescent="0.25">
      <c r="A116" s="5" t="s">
        <v>23</v>
      </c>
      <c r="B116" t="str">
        <f>IF(ISTEXT(P1),DEC2BIN(CODE(P1),8),DEC2BIN(P1,8))</f>
        <v>00001111</v>
      </c>
    </row>
    <row r="117" spans="1:2" x14ac:dyDescent="0.25">
      <c r="A117" s="5" t="s">
        <v>24</v>
      </c>
      <c r="B117" t="str">
        <f>IF(ISTEXT(Q1),DEC2BIN(CODE(Q1),8),DEC2BIN(Q1,8))</f>
        <v>00010000</v>
      </c>
    </row>
    <row r="119" spans="1:2" x14ac:dyDescent="0.25">
      <c r="A119" s="5" t="s">
        <v>36</v>
      </c>
      <c r="B119" t="str">
        <f>B114&amp;B115&amp;B116&amp;B117</f>
        <v>01100111011100000000111100010000</v>
      </c>
    </row>
    <row r="122" spans="1:2" x14ac:dyDescent="0.25">
      <c r="A122" s="6" t="s">
        <v>25</v>
      </c>
      <c r="B122" t="str">
        <f>IF(ISTEXT(R1),DEC2BIN(CODE(R1),8),DEC2BIN(R1,8))</f>
        <v>00010001</v>
      </c>
    </row>
    <row r="123" spans="1:2" x14ac:dyDescent="0.25">
      <c r="A123" s="6" t="s">
        <v>26</v>
      </c>
      <c r="B123" t="str">
        <f>IF(ISTEXT(S1),DEC2BIN(CODE(S1),8),DEC2BIN(S1,8))</f>
        <v>00010010</v>
      </c>
    </row>
    <row r="124" spans="1:2" x14ac:dyDescent="0.25">
      <c r="A124" s="6" t="s">
        <v>27</v>
      </c>
      <c r="B124" t="str">
        <f>IF(ISTEXT(T1),DEC2BIN(CODE(T1),8),DEC2BIN(T1,8))</f>
        <v>00010011</v>
      </c>
    </row>
    <row r="125" spans="1:2" x14ac:dyDescent="0.25">
      <c r="A125" s="6" t="s">
        <v>28</v>
      </c>
      <c r="B125" t="str">
        <f>IF(ISTEXT(U1),DEC2BIN(CODE(U1),8),DEC2BIN(U1,8))</f>
        <v>00010100</v>
      </c>
    </row>
    <row r="127" spans="1:2" x14ac:dyDescent="0.25">
      <c r="A127" s="6" t="s">
        <v>36</v>
      </c>
      <c r="B127" t="str">
        <f>B122&amp;B123&amp;B124&amp;B125</f>
        <v>00010001000100100001001100010100</v>
      </c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F8F93-3BCD-45CC-A6A3-E197DE5ACB13}">
  <dimension ref="C3:AL22"/>
  <sheetViews>
    <sheetView workbookViewId="0">
      <selection activeCell="AL21" sqref="AL21"/>
    </sheetView>
  </sheetViews>
  <sheetFormatPr defaultRowHeight="15" x14ac:dyDescent="0.25"/>
  <cols>
    <col min="4" max="35" width="2.42578125" style="14" customWidth="1"/>
  </cols>
  <sheetData>
    <row r="3" spans="3:36" x14ac:dyDescent="0.25">
      <c r="C3" t="s">
        <v>450</v>
      </c>
      <c r="D3" s="14">
        <v>1</v>
      </c>
      <c r="E3" s="14">
        <v>1</v>
      </c>
      <c r="F3" s="14">
        <v>1</v>
      </c>
      <c r="G3" s="14">
        <v>0</v>
      </c>
      <c r="H3" s="14">
        <v>0</v>
      </c>
      <c r="I3" s="14">
        <v>0</v>
      </c>
      <c r="J3" s="14">
        <v>1</v>
      </c>
      <c r="K3" s="14">
        <v>0</v>
      </c>
      <c r="L3" s="14">
        <v>1</v>
      </c>
      <c r="M3" s="14">
        <v>1</v>
      </c>
      <c r="N3" s="14">
        <v>0</v>
      </c>
      <c r="O3" s="14">
        <v>0</v>
      </c>
      <c r="P3" s="14">
        <v>0</v>
      </c>
      <c r="Q3" s="14">
        <v>0</v>
      </c>
      <c r="R3" s="14">
        <v>1</v>
      </c>
      <c r="S3" s="14">
        <v>1</v>
      </c>
      <c r="T3" s="14">
        <v>0</v>
      </c>
      <c r="U3" s="14">
        <v>1</v>
      </c>
      <c r="V3" s="14">
        <v>0</v>
      </c>
      <c r="W3" s="14">
        <v>1</v>
      </c>
      <c r="X3" s="14">
        <v>0</v>
      </c>
      <c r="Y3" s="14">
        <v>1</v>
      </c>
      <c r="Z3" s="14">
        <v>1</v>
      </c>
      <c r="AA3" s="14">
        <v>0</v>
      </c>
      <c r="AB3" s="14">
        <v>0</v>
      </c>
      <c r="AC3" s="14">
        <v>1</v>
      </c>
      <c r="AD3" s="14">
        <v>0</v>
      </c>
      <c r="AE3" s="14">
        <v>0</v>
      </c>
      <c r="AF3" s="14">
        <v>0</v>
      </c>
      <c r="AG3" s="14">
        <v>0</v>
      </c>
      <c r="AH3" s="14">
        <v>0</v>
      </c>
      <c r="AI3" s="14">
        <v>1</v>
      </c>
    </row>
    <row r="4" spans="3:36" x14ac:dyDescent="0.25">
      <c r="C4" t="s">
        <v>451</v>
      </c>
      <c r="D4" s="14">
        <f ca="1">RANDBETWEEN(0,1)</f>
        <v>1</v>
      </c>
      <c r="E4" s="14">
        <f t="shared" ref="E4:AI4" ca="1" si="0">RANDBETWEEN(0,1)</f>
        <v>1</v>
      </c>
      <c r="F4" s="14">
        <f t="shared" ca="1" si="0"/>
        <v>1</v>
      </c>
      <c r="G4" s="14">
        <f t="shared" ca="1" si="0"/>
        <v>1</v>
      </c>
      <c r="H4" s="14">
        <f t="shared" ca="1" si="0"/>
        <v>0</v>
      </c>
      <c r="I4" s="14">
        <f t="shared" ca="1" si="0"/>
        <v>1</v>
      </c>
      <c r="J4" s="14">
        <f t="shared" ca="1" si="0"/>
        <v>0</v>
      </c>
      <c r="K4" s="14">
        <f t="shared" ca="1" si="0"/>
        <v>0</v>
      </c>
      <c r="L4" s="14">
        <f t="shared" ca="1" si="0"/>
        <v>0</v>
      </c>
      <c r="M4" s="14">
        <f t="shared" ca="1" si="0"/>
        <v>0</v>
      </c>
      <c r="N4" s="14">
        <f t="shared" ca="1" si="0"/>
        <v>1</v>
      </c>
      <c r="O4" s="14">
        <f t="shared" ca="1" si="0"/>
        <v>1</v>
      </c>
      <c r="P4" s="14">
        <f t="shared" ca="1" si="0"/>
        <v>0</v>
      </c>
      <c r="Q4" s="14">
        <f t="shared" ca="1" si="0"/>
        <v>0</v>
      </c>
      <c r="R4" s="14">
        <f t="shared" ca="1" si="0"/>
        <v>0</v>
      </c>
      <c r="S4" s="14">
        <f t="shared" ca="1" si="0"/>
        <v>1</v>
      </c>
      <c r="T4" s="14">
        <f t="shared" ca="1" si="0"/>
        <v>1</v>
      </c>
      <c r="U4" s="14">
        <f t="shared" ca="1" si="0"/>
        <v>0</v>
      </c>
      <c r="V4" s="14">
        <f t="shared" ca="1" si="0"/>
        <v>1</v>
      </c>
      <c r="W4" s="14">
        <f t="shared" ca="1" si="0"/>
        <v>0</v>
      </c>
      <c r="X4" s="14">
        <f t="shared" ca="1" si="0"/>
        <v>0</v>
      </c>
      <c r="Y4" s="14">
        <f t="shared" ca="1" si="0"/>
        <v>1</v>
      </c>
      <c r="Z4" s="14">
        <f t="shared" ca="1" si="0"/>
        <v>0</v>
      </c>
      <c r="AA4" s="14">
        <f t="shared" ca="1" si="0"/>
        <v>1</v>
      </c>
      <c r="AB4" s="14">
        <f t="shared" ca="1" si="0"/>
        <v>0</v>
      </c>
      <c r="AC4" s="14">
        <f t="shared" ca="1" si="0"/>
        <v>1</v>
      </c>
      <c r="AD4" s="14">
        <f t="shared" ca="1" si="0"/>
        <v>0</v>
      </c>
      <c r="AE4" s="14">
        <f t="shared" ca="1" si="0"/>
        <v>0</v>
      </c>
      <c r="AF4" s="14">
        <f t="shared" ca="1" si="0"/>
        <v>0</v>
      </c>
      <c r="AG4" s="14">
        <f t="shared" ca="1" si="0"/>
        <v>1</v>
      </c>
      <c r="AH4" s="14">
        <f t="shared" ca="1" si="0"/>
        <v>1</v>
      </c>
      <c r="AI4" s="14">
        <f t="shared" ca="1" si="0"/>
        <v>1</v>
      </c>
    </row>
    <row r="5" spans="3:36" x14ac:dyDescent="0.25">
      <c r="C5" t="s">
        <v>452</v>
      </c>
      <c r="D5" s="14">
        <f ca="1">IF(D4=D3,1,0)</f>
        <v>1</v>
      </c>
      <c r="E5" s="14">
        <f t="shared" ref="E5:AI5" ca="1" si="1">IF(E4=E3,1,0)</f>
        <v>1</v>
      </c>
      <c r="F5" s="14">
        <f t="shared" ca="1" si="1"/>
        <v>1</v>
      </c>
      <c r="G5" s="14">
        <f t="shared" ca="1" si="1"/>
        <v>0</v>
      </c>
      <c r="H5" s="14">
        <f t="shared" ca="1" si="1"/>
        <v>1</v>
      </c>
      <c r="I5" s="14">
        <f t="shared" ca="1" si="1"/>
        <v>0</v>
      </c>
      <c r="J5" s="14">
        <f t="shared" ca="1" si="1"/>
        <v>0</v>
      </c>
      <c r="K5" s="14">
        <f t="shared" ca="1" si="1"/>
        <v>1</v>
      </c>
      <c r="L5" s="14">
        <f t="shared" ca="1" si="1"/>
        <v>0</v>
      </c>
      <c r="M5" s="14">
        <f t="shared" ca="1" si="1"/>
        <v>0</v>
      </c>
      <c r="N5" s="14">
        <f t="shared" ca="1" si="1"/>
        <v>0</v>
      </c>
      <c r="O5" s="14">
        <f t="shared" ca="1" si="1"/>
        <v>0</v>
      </c>
      <c r="P5" s="14">
        <f t="shared" ca="1" si="1"/>
        <v>1</v>
      </c>
      <c r="Q5" s="14">
        <f t="shared" ca="1" si="1"/>
        <v>1</v>
      </c>
      <c r="R5" s="14">
        <f t="shared" ca="1" si="1"/>
        <v>0</v>
      </c>
      <c r="S5" s="14">
        <f t="shared" ca="1" si="1"/>
        <v>1</v>
      </c>
      <c r="T5" s="14">
        <f t="shared" ca="1" si="1"/>
        <v>0</v>
      </c>
      <c r="U5" s="14">
        <f t="shared" ca="1" si="1"/>
        <v>0</v>
      </c>
      <c r="V5" s="14">
        <f t="shared" ca="1" si="1"/>
        <v>0</v>
      </c>
      <c r="W5" s="14">
        <f t="shared" ca="1" si="1"/>
        <v>0</v>
      </c>
      <c r="X5" s="14">
        <f t="shared" ca="1" si="1"/>
        <v>1</v>
      </c>
      <c r="Y5" s="14">
        <f t="shared" ca="1" si="1"/>
        <v>1</v>
      </c>
      <c r="Z5" s="14">
        <f t="shared" ca="1" si="1"/>
        <v>0</v>
      </c>
      <c r="AA5" s="14">
        <f t="shared" ca="1" si="1"/>
        <v>0</v>
      </c>
      <c r="AB5" s="14">
        <f t="shared" ca="1" si="1"/>
        <v>1</v>
      </c>
      <c r="AC5" s="14">
        <f t="shared" ca="1" si="1"/>
        <v>1</v>
      </c>
      <c r="AD5" s="14">
        <f t="shared" ca="1" si="1"/>
        <v>1</v>
      </c>
      <c r="AE5" s="14">
        <f t="shared" ca="1" si="1"/>
        <v>1</v>
      </c>
      <c r="AF5" s="14">
        <f t="shared" ca="1" si="1"/>
        <v>1</v>
      </c>
      <c r="AG5" s="14">
        <f t="shared" ca="1" si="1"/>
        <v>0</v>
      </c>
      <c r="AH5" s="14">
        <f t="shared" ca="1" si="1"/>
        <v>0</v>
      </c>
      <c r="AI5" s="14">
        <f t="shared" ca="1" si="1"/>
        <v>1</v>
      </c>
      <c r="AJ5" s="14">
        <f ca="1">SUM(D5:AI5)</f>
        <v>16</v>
      </c>
    </row>
    <row r="6" spans="3:36" x14ac:dyDescent="0.25">
      <c r="C6" s="34" t="s">
        <v>453</v>
      </c>
      <c r="D6" s="14">
        <f ca="1">1-D4</f>
        <v>0</v>
      </c>
      <c r="E6" s="14">
        <f t="shared" ref="E6:AI6" ca="1" si="2">1-E4</f>
        <v>0</v>
      </c>
      <c r="F6" s="14">
        <f t="shared" ca="1" si="2"/>
        <v>0</v>
      </c>
      <c r="G6" s="14">
        <f t="shared" ca="1" si="2"/>
        <v>0</v>
      </c>
      <c r="H6" s="14">
        <f t="shared" ca="1" si="2"/>
        <v>1</v>
      </c>
      <c r="I6" s="14">
        <f t="shared" ca="1" si="2"/>
        <v>0</v>
      </c>
      <c r="J6" s="14">
        <f t="shared" ca="1" si="2"/>
        <v>1</v>
      </c>
      <c r="K6" s="14">
        <f t="shared" ca="1" si="2"/>
        <v>1</v>
      </c>
      <c r="L6" s="14">
        <f t="shared" ca="1" si="2"/>
        <v>1</v>
      </c>
      <c r="M6" s="14">
        <f t="shared" ca="1" si="2"/>
        <v>1</v>
      </c>
      <c r="N6" s="14">
        <f t="shared" ca="1" si="2"/>
        <v>0</v>
      </c>
      <c r="O6" s="14">
        <f t="shared" ca="1" si="2"/>
        <v>0</v>
      </c>
      <c r="P6" s="14">
        <f t="shared" ca="1" si="2"/>
        <v>1</v>
      </c>
      <c r="Q6" s="14">
        <f t="shared" ca="1" si="2"/>
        <v>1</v>
      </c>
      <c r="R6" s="14">
        <f t="shared" ca="1" si="2"/>
        <v>1</v>
      </c>
      <c r="S6" s="14">
        <f t="shared" ca="1" si="2"/>
        <v>0</v>
      </c>
      <c r="T6" s="14">
        <f t="shared" ca="1" si="2"/>
        <v>0</v>
      </c>
      <c r="U6" s="14">
        <f t="shared" ca="1" si="2"/>
        <v>1</v>
      </c>
      <c r="V6" s="14">
        <f t="shared" ca="1" si="2"/>
        <v>0</v>
      </c>
      <c r="W6" s="14">
        <f t="shared" ca="1" si="2"/>
        <v>1</v>
      </c>
      <c r="X6" s="14">
        <f t="shared" ca="1" si="2"/>
        <v>1</v>
      </c>
      <c r="Y6" s="14">
        <f t="shared" ca="1" si="2"/>
        <v>0</v>
      </c>
      <c r="Z6" s="14">
        <f t="shared" ca="1" si="2"/>
        <v>1</v>
      </c>
      <c r="AA6" s="14">
        <f t="shared" ca="1" si="2"/>
        <v>0</v>
      </c>
      <c r="AB6" s="14">
        <f t="shared" ca="1" si="2"/>
        <v>1</v>
      </c>
      <c r="AC6" s="14">
        <f t="shared" ca="1" si="2"/>
        <v>0</v>
      </c>
      <c r="AD6" s="14">
        <f t="shared" ca="1" si="2"/>
        <v>1</v>
      </c>
      <c r="AE6" s="14">
        <f t="shared" ca="1" si="2"/>
        <v>1</v>
      </c>
      <c r="AF6" s="14">
        <f t="shared" ca="1" si="2"/>
        <v>1</v>
      </c>
      <c r="AG6" s="14">
        <f t="shared" ca="1" si="2"/>
        <v>0</v>
      </c>
      <c r="AH6" s="14">
        <f t="shared" ca="1" si="2"/>
        <v>0</v>
      </c>
      <c r="AI6" s="14">
        <f t="shared" ca="1" si="2"/>
        <v>0</v>
      </c>
    </row>
    <row r="7" spans="3:36" x14ac:dyDescent="0.25">
      <c r="C7" t="s">
        <v>452</v>
      </c>
      <c r="D7" s="14">
        <f ca="1">IF(D6=D3,1,0)</f>
        <v>0</v>
      </c>
      <c r="E7" s="14">
        <f t="shared" ref="E7:AI7" ca="1" si="3">IF(E6=E3,1,0)</f>
        <v>0</v>
      </c>
      <c r="F7" s="14">
        <f t="shared" ca="1" si="3"/>
        <v>0</v>
      </c>
      <c r="G7" s="14">
        <f t="shared" ca="1" si="3"/>
        <v>1</v>
      </c>
      <c r="H7" s="14">
        <f t="shared" ca="1" si="3"/>
        <v>0</v>
      </c>
      <c r="I7" s="14">
        <f t="shared" ca="1" si="3"/>
        <v>1</v>
      </c>
      <c r="J7" s="14">
        <f t="shared" ca="1" si="3"/>
        <v>1</v>
      </c>
      <c r="K7" s="14">
        <f t="shared" ca="1" si="3"/>
        <v>0</v>
      </c>
      <c r="L7" s="14">
        <f t="shared" ca="1" si="3"/>
        <v>1</v>
      </c>
      <c r="M7" s="14">
        <f t="shared" ca="1" si="3"/>
        <v>1</v>
      </c>
      <c r="N7" s="14">
        <f t="shared" ca="1" si="3"/>
        <v>1</v>
      </c>
      <c r="O7" s="14">
        <f t="shared" ca="1" si="3"/>
        <v>1</v>
      </c>
      <c r="P7" s="14">
        <f t="shared" ca="1" si="3"/>
        <v>0</v>
      </c>
      <c r="Q7" s="14">
        <f t="shared" ca="1" si="3"/>
        <v>0</v>
      </c>
      <c r="R7" s="14">
        <f t="shared" ca="1" si="3"/>
        <v>1</v>
      </c>
      <c r="S7" s="14">
        <f t="shared" ca="1" si="3"/>
        <v>0</v>
      </c>
      <c r="T7" s="14">
        <f t="shared" ca="1" si="3"/>
        <v>1</v>
      </c>
      <c r="U7" s="14">
        <f t="shared" ca="1" si="3"/>
        <v>1</v>
      </c>
      <c r="V7" s="14">
        <f t="shared" ca="1" si="3"/>
        <v>1</v>
      </c>
      <c r="W7" s="14">
        <f t="shared" ca="1" si="3"/>
        <v>1</v>
      </c>
      <c r="X7" s="14">
        <f t="shared" ca="1" si="3"/>
        <v>0</v>
      </c>
      <c r="Y7" s="14">
        <f t="shared" ca="1" si="3"/>
        <v>0</v>
      </c>
      <c r="Z7" s="14">
        <f t="shared" ca="1" si="3"/>
        <v>1</v>
      </c>
      <c r="AA7" s="14">
        <f t="shared" ca="1" si="3"/>
        <v>1</v>
      </c>
      <c r="AB7" s="14">
        <f t="shared" ca="1" si="3"/>
        <v>0</v>
      </c>
      <c r="AC7" s="14">
        <f t="shared" ca="1" si="3"/>
        <v>0</v>
      </c>
      <c r="AD7" s="14">
        <f t="shared" ca="1" si="3"/>
        <v>0</v>
      </c>
      <c r="AE7" s="14">
        <f t="shared" ca="1" si="3"/>
        <v>0</v>
      </c>
      <c r="AF7" s="14">
        <f t="shared" ca="1" si="3"/>
        <v>0</v>
      </c>
      <c r="AG7" s="14">
        <f t="shared" ca="1" si="3"/>
        <v>1</v>
      </c>
      <c r="AH7" s="14">
        <f t="shared" ca="1" si="3"/>
        <v>1</v>
      </c>
      <c r="AI7" s="14">
        <f t="shared" ca="1" si="3"/>
        <v>0</v>
      </c>
      <c r="AJ7" s="14">
        <f ca="1">SUM(D7:AI7)</f>
        <v>16</v>
      </c>
    </row>
    <row r="16" spans="3:36" x14ac:dyDescent="0.25">
      <c r="D16" s="14">
        <f t="shared" ref="D16:S16" ca="1" si="4">+D4</f>
        <v>1</v>
      </c>
      <c r="E16" s="14">
        <f t="shared" ca="1" si="4"/>
        <v>1</v>
      </c>
      <c r="F16" s="14">
        <f t="shared" ca="1" si="4"/>
        <v>1</v>
      </c>
      <c r="G16" s="14">
        <f t="shared" ca="1" si="4"/>
        <v>1</v>
      </c>
      <c r="H16" s="14">
        <f t="shared" ca="1" si="4"/>
        <v>0</v>
      </c>
      <c r="I16" s="14">
        <f t="shared" ca="1" si="4"/>
        <v>1</v>
      </c>
      <c r="J16" s="14">
        <f t="shared" ca="1" si="4"/>
        <v>0</v>
      </c>
      <c r="K16" s="14">
        <f t="shared" ca="1" si="4"/>
        <v>0</v>
      </c>
      <c r="L16" s="14">
        <f t="shared" ca="1" si="4"/>
        <v>0</v>
      </c>
      <c r="M16" s="14">
        <f t="shared" ca="1" si="4"/>
        <v>0</v>
      </c>
      <c r="N16" s="14">
        <f t="shared" ca="1" si="4"/>
        <v>1</v>
      </c>
      <c r="O16" s="14">
        <f t="shared" ca="1" si="4"/>
        <v>1</v>
      </c>
      <c r="P16" s="14">
        <f t="shared" ca="1" si="4"/>
        <v>0</v>
      </c>
      <c r="Q16" s="14">
        <f t="shared" ca="1" si="4"/>
        <v>0</v>
      </c>
      <c r="R16" s="14">
        <f t="shared" ca="1" si="4"/>
        <v>0</v>
      </c>
      <c r="S16" s="14">
        <f t="shared" ca="1" si="4"/>
        <v>1</v>
      </c>
      <c r="T16" s="14">
        <f t="shared" ref="T16:AI16" ca="1" si="5">+T6</f>
        <v>0</v>
      </c>
      <c r="U16" s="14">
        <f t="shared" ca="1" si="5"/>
        <v>1</v>
      </c>
      <c r="V16" s="14">
        <f t="shared" ca="1" si="5"/>
        <v>0</v>
      </c>
      <c r="W16" s="14">
        <f t="shared" ca="1" si="5"/>
        <v>1</v>
      </c>
      <c r="X16" s="14">
        <f t="shared" ca="1" si="5"/>
        <v>1</v>
      </c>
      <c r="Y16" s="14">
        <f t="shared" ca="1" si="5"/>
        <v>0</v>
      </c>
      <c r="Z16" s="14">
        <f t="shared" ca="1" si="5"/>
        <v>1</v>
      </c>
      <c r="AA16" s="14">
        <f t="shared" ca="1" si="5"/>
        <v>0</v>
      </c>
      <c r="AB16" s="14">
        <f t="shared" ca="1" si="5"/>
        <v>1</v>
      </c>
      <c r="AC16" s="14">
        <f t="shared" ca="1" si="5"/>
        <v>0</v>
      </c>
      <c r="AD16" s="14">
        <f t="shared" ca="1" si="5"/>
        <v>1</v>
      </c>
      <c r="AE16" s="14">
        <f t="shared" ca="1" si="5"/>
        <v>1</v>
      </c>
      <c r="AF16" s="14">
        <f t="shared" ca="1" si="5"/>
        <v>1</v>
      </c>
      <c r="AG16" s="14">
        <f t="shared" ca="1" si="5"/>
        <v>0</v>
      </c>
      <c r="AH16" s="14">
        <f t="shared" ca="1" si="5"/>
        <v>0</v>
      </c>
      <c r="AI16" s="14">
        <f t="shared" ca="1" si="5"/>
        <v>0</v>
      </c>
    </row>
    <row r="17" spans="3:38" x14ac:dyDescent="0.25">
      <c r="C17" t="s">
        <v>452</v>
      </c>
      <c r="D17" s="14">
        <f ca="1">IF(D16=D3,1,0)</f>
        <v>1</v>
      </c>
      <c r="E17" s="14">
        <f t="shared" ref="E17:AI17" ca="1" si="6">IF(E16=E3,1,0)</f>
        <v>1</v>
      </c>
      <c r="F17" s="14">
        <f t="shared" ca="1" si="6"/>
        <v>1</v>
      </c>
      <c r="G17" s="14">
        <f t="shared" ca="1" si="6"/>
        <v>0</v>
      </c>
      <c r="H17" s="14">
        <f t="shared" ca="1" si="6"/>
        <v>1</v>
      </c>
      <c r="I17" s="14">
        <f t="shared" ca="1" si="6"/>
        <v>0</v>
      </c>
      <c r="J17" s="14">
        <f t="shared" ca="1" si="6"/>
        <v>0</v>
      </c>
      <c r="K17" s="14">
        <f t="shared" ca="1" si="6"/>
        <v>1</v>
      </c>
      <c r="L17" s="14">
        <f t="shared" ca="1" si="6"/>
        <v>0</v>
      </c>
      <c r="M17" s="14">
        <f t="shared" ca="1" si="6"/>
        <v>0</v>
      </c>
      <c r="N17" s="14">
        <f t="shared" ca="1" si="6"/>
        <v>0</v>
      </c>
      <c r="O17" s="14">
        <f t="shared" ca="1" si="6"/>
        <v>0</v>
      </c>
      <c r="P17" s="14">
        <f t="shared" ca="1" si="6"/>
        <v>1</v>
      </c>
      <c r="Q17" s="14">
        <f t="shared" ca="1" si="6"/>
        <v>1</v>
      </c>
      <c r="R17" s="14">
        <f t="shared" ca="1" si="6"/>
        <v>0</v>
      </c>
      <c r="S17" s="14">
        <f t="shared" ca="1" si="6"/>
        <v>1</v>
      </c>
      <c r="T17" s="14">
        <f t="shared" ca="1" si="6"/>
        <v>1</v>
      </c>
      <c r="U17" s="14">
        <f t="shared" ca="1" si="6"/>
        <v>1</v>
      </c>
      <c r="V17" s="14">
        <f t="shared" ca="1" si="6"/>
        <v>1</v>
      </c>
      <c r="W17" s="14">
        <f t="shared" ca="1" si="6"/>
        <v>1</v>
      </c>
      <c r="X17" s="14">
        <f t="shared" ca="1" si="6"/>
        <v>0</v>
      </c>
      <c r="Y17" s="14">
        <f t="shared" ca="1" si="6"/>
        <v>0</v>
      </c>
      <c r="Z17" s="14">
        <f t="shared" ca="1" si="6"/>
        <v>1</v>
      </c>
      <c r="AA17" s="14">
        <f t="shared" ca="1" si="6"/>
        <v>1</v>
      </c>
      <c r="AB17" s="14">
        <f t="shared" ca="1" si="6"/>
        <v>0</v>
      </c>
      <c r="AC17" s="14">
        <f t="shared" ca="1" si="6"/>
        <v>0</v>
      </c>
      <c r="AD17" s="14">
        <f t="shared" ca="1" si="6"/>
        <v>0</v>
      </c>
      <c r="AE17" s="14">
        <f t="shared" ca="1" si="6"/>
        <v>0</v>
      </c>
      <c r="AF17" s="14">
        <f t="shared" ca="1" si="6"/>
        <v>0</v>
      </c>
      <c r="AG17" s="14">
        <f t="shared" ca="1" si="6"/>
        <v>1</v>
      </c>
      <c r="AH17" s="14">
        <f t="shared" ca="1" si="6"/>
        <v>1</v>
      </c>
      <c r="AI17" s="14">
        <f t="shared" ca="1" si="6"/>
        <v>0</v>
      </c>
      <c r="AJ17" s="14">
        <f ca="1">SUM(D17:AI17)</f>
        <v>16</v>
      </c>
    </row>
    <row r="19" spans="3:38" x14ac:dyDescent="0.25">
      <c r="D19" s="14">
        <f t="shared" ref="D19:S19" ca="1" si="7">+D6</f>
        <v>0</v>
      </c>
      <c r="E19" s="14">
        <f t="shared" ca="1" si="7"/>
        <v>0</v>
      </c>
      <c r="F19" s="14">
        <f t="shared" ca="1" si="7"/>
        <v>0</v>
      </c>
      <c r="G19" s="14">
        <f t="shared" ca="1" si="7"/>
        <v>0</v>
      </c>
      <c r="H19" s="14">
        <f t="shared" ca="1" si="7"/>
        <v>1</v>
      </c>
      <c r="I19" s="14">
        <f t="shared" ca="1" si="7"/>
        <v>0</v>
      </c>
      <c r="J19" s="14">
        <f t="shared" ca="1" si="7"/>
        <v>1</v>
      </c>
      <c r="K19" s="14">
        <f t="shared" ca="1" si="7"/>
        <v>1</v>
      </c>
      <c r="L19" s="14">
        <f t="shared" ca="1" si="7"/>
        <v>1</v>
      </c>
      <c r="M19" s="14">
        <f t="shared" ca="1" si="7"/>
        <v>1</v>
      </c>
      <c r="N19" s="14">
        <f t="shared" ca="1" si="7"/>
        <v>0</v>
      </c>
      <c r="O19" s="14">
        <f t="shared" ca="1" si="7"/>
        <v>0</v>
      </c>
      <c r="P19" s="14">
        <f t="shared" ca="1" si="7"/>
        <v>1</v>
      </c>
      <c r="Q19" s="14">
        <f t="shared" ca="1" si="7"/>
        <v>1</v>
      </c>
      <c r="R19" s="14">
        <f t="shared" ca="1" si="7"/>
        <v>1</v>
      </c>
      <c r="S19" s="14">
        <f t="shared" ca="1" si="7"/>
        <v>0</v>
      </c>
      <c r="T19" s="14">
        <f t="shared" ref="T19:AI19" ca="1" si="8">+T4</f>
        <v>1</v>
      </c>
      <c r="U19" s="14">
        <f t="shared" ca="1" si="8"/>
        <v>0</v>
      </c>
      <c r="V19" s="14">
        <f t="shared" ca="1" si="8"/>
        <v>1</v>
      </c>
      <c r="W19" s="14">
        <f t="shared" ca="1" si="8"/>
        <v>0</v>
      </c>
      <c r="X19" s="14">
        <f t="shared" ca="1" si="8"/>
        <v>0</v>
      </c>
      <c r="Y19" s="14">
        <f t="shared" ca="1" si="8"/>
        <v>1</v>
      </c>
      <c r="Z19" s="14">
        <f t="shared" ca="1" si="8"/>
        <v>0</v>
      </c>
      <c r="AA19" s="14">
        <f t="shared" ca="1" si="8"/>
        <v>1</v>
      </c>
      <c r="AB19" s="14">
        <f t="shared" ca="1" si="8"/>
        <v>0</v>
      </c>
      <c r="AC19" s="14">
        <f t="shared" ca="1" si="8"/>
        <v>1</v>
      </c>
      <c r="AD19" s="14">
        <f t="shared" ca="1" si="8"/>
        <v>0</v>
      </c>
      <c r="AE19" s="14">
        <f t="shared" ca="1" si="8"/>
        <v>0</v>
      </c>
      <c r="AF19" s="14">
        <f t="shared" ca="1" si="8"/>
        <v>0</v>
      </c>
      <c r="AG19" s="14">
        <f t="shared" ca="1" si="8"/>
        <v>1</v>
      </c>
      <c r="AH19" s="14">
        <f t="shared" ca="1" si="8"/>
        <v>1</v>
      </c>
      <c r="AI19" s="14">
        <f t="shared" ca="1" si="8"/>
        <v>1</v>
      </c>
    </row>
    <row r="20" spans="3:38" x14ac:dyDescent="0.25">
      <c r="C20" t="s">
        <v>452</v>
      </c>
      <c r="D20" s="14">
        <f ca="1">IF(D19=D3,1,0)</f>
        <v>0</v>
      </c>
      <c r="E20" s="14">
        <f t="shared" ref="E20:AI20" ca="1" si="9">IF(E19=E3,1,0)</f>
        <v>0</v>
      </c>
      <c r="F20" s="14">
        <f t="shared" ca="1" si="9"/>
        <v>0</v>
      </c>
      <c r="G20" s="14">
        <f t="shared" ca="1" si="9"/>
        <v>1</v>
      </c>
      <c r="H20" s="14">
        <f t="shared" ca="1" si="9"/>
        <v>0</v>
      </c>
      <c r="I20" s="14">
        <f t="shared" ca="1" si="9"/>
        <v>1</v>
      </c>
      <c r="J20" s="14">
        <f t="shared" ca="1" si="9"/>
        <v>1</v>
      </c>
      <c r="K20" s="14">
        <f t="shared" ca="1" si="9"/>
        <v>0</v>
      </c>
      <c r="L20" s="14">
        <f t="shared" ca="1" si="9"/>
        <v>1</v>
      </c>
      <c r="M20" s="14">
        <f t="shared" ca="1" si="9"/>
        <v>1</v>
      </c>
      <c r="N20" s="14">
        <f t="shared" ca="1" si="9"/>
        <v>1</v>
      </c>
      <c r="O20" s="14">
        <f t="shared" ca="1" si="9"/>
        <v>1</v>
      </c>
      <c r="P20" s="14">
        <f t="shared" ca="1" si="9"/>
        <v>0</v>
      </c>
      <c r="Q20" s="14">
        <f t="shared" ca="1" si="9"/>
        <v>0</v>
      </c>
      <c r="R20" s="14">
        <f t="shared" ca="1" si="9"/>
        <v>1</v>
      </c>
      <c r="S20" s="14">
        <f t="shared" ca="1" si="9"/>
        <v>0</v>
      </c>
      <c r="T20" s="14">
        <f t="shared" ca="1" si="9"/>
        <v>0</v>
      </c>
      <c r="U20" s="14">
        <f t="shared" ca="1" si="9"/>
        <v>0</v>
      </c>
      <c r="V20" s="14">
        <f t="shared" ca="1" si="9"/>
        <v>0</v>
      </c>
      <c r="W20" s="14">
        <f t="shared" ca="1" si="9"/>
        <v>0</v>
      </c>
      <c r="X20" s="14">
        <f t="shared" ca="1" si="9"/>
        <v>1</v>
      </c>
      <c r="Y20" s="14">
        <f t="shared" ca="1" si="9"/>
        <v>1</v>
      </c>
      <c r="Z20" s="14">
        <f t="shared" ca="1" si="9"/>
        <v>0</v>
      </c>
      <c r="AA20" s="14">
        <f t="shared" ca="1" si="9"/>
        <v>0</v>
      </c>
      <c r="AB20" s="14">
        <f t="shared" ca="1" si="9"/>
        <v>1</v>
      </c>
      <c r="AC20" s="14">
        <f t="shared" ca="1" si="9"/>
        <v>1</v>
      </c>
      <c r="AD20" s="14">
        <f t="shared" ca="1" si="9"/>
        <v>1</v>
      </c>
      <c r="AE20" s="14">
        <f t="shared" ca="1" si="9"/>
        <v>1</v>
      </c>
      <c r="AF20" s="14">
        <f t="shared" ca="1" si="9"/>
        <v>1</v>
      </c>
      <c r="AG20" s="14">
        <f t="shared" ca="1" si="9"/>
        <v>0</v>
      </c>
      <c r="AH20" s="14">
        <f t="shared" ca="1" si="9"/>
        <v>0</v>
      </c>
      <c r="AI20" s="14">
        <f t="shared" ca="1" si="9"/>
        <v>1</v>
      </c>
      <c r="AJ20" s="14">
        <f ca="1">SUM(D20:AI20)</f>
        <v>16</v>
      </c>
    </row>
    <row r="22" spans="3:38" x14ac:dyDescent="0.25">
      <c r="AJ22">
        <f ca="1">MAX(AJ5:AJ20)</f>
        <v>16</v>
      </c>
      <c r="AL22">
        <f ca="1">+AJ7+AJ5</f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6</vt:i4>
      </vt:variant>
    </vt:vector>
  </HeadingPairs>
  <TitlesOfParts>
    <vt:vector size="6" baseType="lpstr">
      <vt:lpstr>Folha1</vt:lpstr>
      <vt:lpstr>Folha3</vt:lpstr>
      <vt:lpstr>Folha4</vt:lpstr>
      <vt:lpstr>testes</vt:lpstr>
      <vt:lpstr>Folha2</vt:lpstr>
      <vt:lpstr>Folha5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Silva</dc:creator>
  <cp:lastModifiedBy>Research</cp:lastModifiedBy>
  <dcterms:created xsi:type="dcterms:W3CDTF">2024-11-17T16:49:12Z</dcterms:created>
  <dcterms:modified xsi:type="dcterms:W3CDTF">2026-10-01T17:33:41Z</dcterms:modified>
</cp:coreProperties>
</file>