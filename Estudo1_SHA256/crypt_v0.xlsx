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i001\Downloads\"/>
    </mc:Choice>
  </mc:AlternateContent>
  <xr:revisionPtr revIDLastSave="0" documentId="13_ncr:1_{3BB73AAA-99E9-4CE0-A973-48E847B2894A}" xr6:coauthVersionLast="47" xr6:coauthVersionMax="47" xr10:uidLastSave="{00000000-0000-0000-0000-000000000000}"/>
  <bookViews>
    <workbookView xWindow="-108" yWindow="-108" windowWidth="23256" windowHeight="12456" activeTab="1" xr2:uid="{29BC8F21-D4F1-4180-8B49-CD8C8520807C}"/>
  </bookViews>
  <sheets>
    <sheet name="Folha1" sheetId="1" r:id="rId1"/>
    <sheet name="Folha3" sheetId="3" r:id="rId2"/>
    <sheet name="Folha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7" i="3" l="1"/>
  <c r="P105" i="3"/>
  <c r="P103" i="3"/>
  <c r="I109" i="3"/>
  <c r="C107" i="3"/>
  <c r="C105" i="3"/>
  <c r="C103" i="3"/>
  <c r="B39" i="2"/>
  <c r="B37" i="2"/>
  <c r="B14" i="2"/>
  <c r="D39" i="3"/>
  <c r="D41" i="3" s="1"/>
  <c r="D43" i="3" s="1"/>
  <c r="E39" i="3"/>
  <c r="E41" i="3" s="1"/>
  <c r="E43" i="3" s="1"/>
  <c r="F39" i="3"/>
  <c r="F41" i="3" s="1"/>
  <c r="F43" i="3" s="1"/>
  <c r="G39" i="3"/>
  <c r="G41" i="3" s="1"/>
  <c r="G43" i="3" s="1"/>
  <c r="H39" i="3"/>
  <c r="H41" i="3" s="1"/>
  <c r="H43" i="3" s="1"/>
  <c r="I39" i="3"/>
  <c r="I41" i="3" s="1"/>
  <c r="I43" i="3" s="1"/>
  <c r="J39" i="3"/>
  <c r="J41" i="3" s="1"/>
  <c r="J43" i="3" s="1"/>
  <c r="K39" i="3"/>
  <c r="K41" i="3" s="1"/>
  <c r="K43" i="3" s="1"/>
  <c r="L39" i="3"/>
  <c r="L41" i="3" s="1"/>
  <c r="L43" i="3" s="1"/>
  <c r="M39" i="3"/>
  <c r="M41" i="3" s="1"/>
  <c r="M43" i="3" s="1"/>
  <c r="N39" i="3"/>
  <c r="N41" i="3" s="1"/>
  <c r="N43" i="3" s="1"/>
  <c r="O39" i="3"/>
  <c r="O41" i="3" s="1"/>
  <c r="O43" i="3" s="1"/>
  <c r="P39" i="3"/>
  <c r="P41" i="3" s="1"/>
  <c r="P43" i="3" s="1"/>
  <c r="Q39" i="3"/>
  <c r="Q41" i="3" s="1"/>
  <c r="Q43" i="3" s="1"/>
  <c r="R39" i="3"/>
  <c r="R41" i="3" s="1"/>
  <c r="R43" i="3" s="1"/>
  <c r="C39" i="3"/>
  <c r="C41" i="3" s="1"/>
  <c r="C43" i="3" s="1"/>
  <c r="L1" i="3"/>
  <c r="L6" i="3" s="1"/>
  <c r="E7" i="1"/>
  <c r="C7" i="1"/>
  <c r="F6" i="1"/>
  <c r="E6" i="1"/>
  <c r="D7" i="1" s="1"/>
  <c r="D6" i="1"/>
  <c r="B125" i="2"/>
  <c r="B124" i="2"/>
  <c r="B123" i="2"/>
  <c r="B122" i="2"/>
  <c r="B117" i="2"/>
  <c r="B116" i="2"/>
  <c r="B115" i="2"/>
  <c r="B114" i="2"/>
  <c r="B105" i="2"/>
  <c r="B104" i="2"/>
  <c r="B103" i="2"/>
  <c r="B102" i="2"/>
  <c r="B89" i="2"/>
  <c r="B88" i="2"/>
  <c r="B87" i="2"/>
  <c r="B86" i="2"/>
  <c r="B6" i="2"/>
  <c r="B5" i="2"/>
  <c r="B4" i="2"/>
  <c r="B3" i="2"/>
  <c r="B55" i="2" s="1"/>
  <c r="G6" i="1"/>
  <c r="L3" i="3" l="1"/>
  <c r="S4" i="3"/>
  <c r="J4" i="3" s="1"/>
  <c r="O10" i="3"/>
  <c r="F10" i="3" s="1"/>
  <c r="S5" i="3"/>
  <c r="J5" i="3" s="1"/>
  <c r="S3" i="3"/>
  <c r="J3" i="3" s="1"/>
  <c r="N10" i="3"/>
  <c r="E10" i="3" s="1"/>
  <c r="S9" i="3"/>
  <c r="J9" i="3" s="1"/>
  <c r="S6" i="3"/>
  <c r="J6" i="3" s="1"/>
  <c r="M10" i="3"/>
  <c r="D10" i="3" s="1"/>
  <c r="S8" i="3"/>
  <c r="J8" i="3" s="1"/>
  <c r="L10" i="3"/>
  <c r="C10" i="3" s="1"/>
  <c r="S7" i="3"/>
  <c r="J7" i="3" s="1"/>
  <c r="M1" i="3"/>
  <c r="N1" i="3" s="1"/>
  <c r="L9" i="3"/>
  <c r="L7" i="3"/>
  <c r="P9" i="3"/>
  <c r="N8" i="3"/>
  <c r="E8" i="3" s="1"/>
  <c r="R6" i="3"/>
  <c r="I6" i="3" s="1"/>
  <c r="P5" i="3"/>
  <c r="N4" i="3"/>
  <c r="E4" i="3" s="1"/>
  <c r="O9" i="3"/>
  <c r="F9" i="3" s="1"/>
  <c r="M8" i="3"/>
  <c r="D8" i="3" s="1"/>
  <c r="Q6" i="3"/>
  <c r="H6" i="3" s="1"/>
  <c r="O5" i="3"/>
  <c r="F5" i="3" s="1"/>
  <c r="M4" i="3"/>
  <c r="D4" i="3" s="1"/>
  <c r="M3" i="3"/>
  <c r="D3" i="3" s="1"/>
  <c r="N9" i="3"/>
  <c r="E9" i="3" s="1"/>
  <c r="R7" i="3"/>
  <c r="P6" i="3"/>
  <c r="G6" i="3" s="1"/>
  <c r="N5" i="3"/>
  <c r="E5" i="3" s="1"/>
  <c r="R3" i="3"/>
  <c r="I3" i="3" s="1"/>
  <c r="M9" i="3"/>
  <c r="D9" i="3" s="1"/>
  <c r="Q7" i="3"/>
  <c r="H7" i="3" s="1"/>
  <c r="O6" i="3"/>
  <c r="F6" i="3" s="1"/>
  <c r="M5" i="3"/>
  <c r="D5" i="3" s="1"/>
  <c r="Q3" i="3"/>
  <c r="H3" i="3" s="1"/>
  <c r="R8" i="3"/>
  <c r="I8" i="3" s="1"/>
  <c r="P7" i="3"/>
  <c r="N6" i="3"/>
  <c r="E6" i="3" s="1"/>
  <c r="R4" i="3"/>
  <c r="I4" i="3" s="1"/>
  <c r="L8" i="3"/>
  <c r="C8" i="3" s="1"/>
  <c r="P3" i="3"/>
  <c r="Q8" i="3"/>
  <c r="H8" i="3" s="1"/>
  <c r="O7" i="3"/>
  <c r="F7" i="3" s="1"/>
  <c r="M6" i="3"/>
  <c r="D6" i="3" s="1"/>
  <c r="Q4" i="3"/>
  <c r="H4" i="3" s="1"/>
  <c r="O3" i="3"/>
  <c r="F3" i="3" s="1"/>
  <c r="R9" i="3"/>
  <c r="I9" i="3" s="1"/>
  <c r="P8" i="3"/>
  <c r="N7" i="3"/>
  <c r="E7" i="3" s="1"/>
  <c r="R5" i="3"/>
  <c r="I5" i="3" s="1"/>
  <c r="P4" i="3"/>
  <c r="N3" i="3"/>
  <c r="E3" i="3" s="1"/>
  <c r="Q9" i="3"/>
  <c r="H9" i="3" s="1"/>
  <c r="O8" i="3"/>
  <c r="F8" i="3" s="1"/>
  <c r="M7" i="3"/>
  <c r="D7" i="3" s="1"/>
  <c r="Q5" i="3"/>
  <c r="H5" i="3" s="1"/>
  <c r="O4" i="3"/>
  <c r="F4" i="3" s="1"/>
  <c r="L5" i="3"/>
  <c r="L4" i="3"/>
  <c r="C6" i="3"/>
  <c r="I7" i="3"/>
  <c r="B32" i="2"/>
  <c r="B127" i="2"/>
  <c r="B119" i="2"/>
  <c r="B107" i="2"/>
  <c r="B91" i="2"/>
  <c r="B8" i="2"/>
  <c r="C8" i="1"/>
  <c r="D8" i="1" s="1"/>
  <c r="G7" i="1"/>
  <c r="C35" i="3" l="1"/>
  <c r="C38" i="3" s="1"/>
  <c r="L35" i="3"/>
  <c r="I57" i="3" s="1"/>
  <c r="I67" i="3" s="1"/>
  <c r="F35" i="3"/>
  <c r="K35" i="3"/>
  <c r="K38" i="3" s="1"/>
  <c r="O35" i="3"/>
  <c r="S10" i="3"/>
  <c r="J10" i="3" s="1"/>
  <c r="R10" i="3"/>
  <c r="I10" i="3" s="1"/>
  <c r="J35" i="3"/>
  <c r="J38" i="3" s="1"/>
  <c r="C7" i="3"/>
  <c r="G3" i="3"/>
  <c r="D35" i="3"/>
  <c r="O57" i="3" s="1"/>
  <c r="G5" i="3"/>
  <c r="H35" i="3"/>
  <c r="H38" i="3" s="1"/>
  <c r="G8" i="3"/>
  <c r="N35" i="3"/>
  <c r="C9" i="3"/>
  <c r="M35" i="3"/>
  <c r="M38" i="3" s="1"/>
  <c r="I73" i="3" s="1"/>
  <c r="I81" i="3" s="1"/>
  <c r="G4" i="3"/>
  <c r="Q35" i="3"/>
  <c r="C4" i="3"/>
  <c r="E35" i="3"/>
  <c r="C5" i="3"/>
  <c r="G35" i="3"/>
  <c r="C3" i="3"/>
  <c r="G7" i="3"/>
  <c r="G9" i="3"/>
  <c r="P35" i="3"/>
  <c r="P38" i="3" s="1"/>
  <c r="I35" i="3"/>
  <c r="I38" i="3" s="1"/>
  <c r="B41" i="2"/>
  <c r="I41" i="2" s="1"/>
  <c r="I37" i="2"/>
  <c r="I39" i="2"/>
  <c r="H39" i="2"/>
  <c r="G39" i="2"/>
  <c r="F39" i="2"/>
  <c r="B16" i="2"/>
  <c r="I16" i="2" s="1"/>
  <c r="B18" i="2"/>
  <c r="F7" i="1"/>
  <c r="G8" i="1"/>
  <c r="E8" i="1"/>
  <c r="C9" i="1" s="1"/>
  <c r="D9" i="1" s="1"/>
  <c r="G38" i="3" l="1"/>
  <c r="O101" i="3"/>
  <c r="O38" i="3"/>
  <c r="I101" i="3"/>
  <c r="F38" i="3"/>
  <c r="O87" i="3"/>
  <c r="N38" i="3"/>
  <c r="I87" i="3"/>
  <c r="I95" i="3" s="1"/>
  <c r="P60" i="3"/>
  <c r="P64" i="3"/>
  <c r="P62" i="3"/>
  <c r="Q38" i="3"/>
  <c r="C57" i="3"/>
  <c r="E38" i="3"/>
  <c r="O73" i="3"/>
  <c r="L38" i="3"/>
  <c r="D38" i="3"/>
  <c r="R35" i="3"/>
  <c r="R38" i="3" s="1"/>
  <c r="C73" i="3" s="1"/>
  <c r="I43" i="2"/>
  <c r="G37" i="2"/>
  <c r="H37" i="2"/>
  <c r="F37" i="2"/>
  <c r="G41" i="2"/>
  <c r="H41" i="2"/>
  <c r="F41" i="2"/>
  <c r="F14" i="2"/>
  <c r="G14" i="2"/>
  <c r="I14" i="2"/>
  <c r="H14" i="2"/>
  <c r="I18" i="2"/>
  <c r="H18" i="2"/>
  <c r="G18" i="2"/>
  <c r="F18" i="2"/>
  <c r="F16" i="2"/>
  <c r="H16" i="2"/>
  <c r="G16" i="2"/>
  <c r="F8" i="1"/>
  <c r="G9" i="1"/>
  <c r="E9" i="1"/>
  <c r="P93" i="3" l="1"/>
  <c r="P91" i="3"/>
  <c r="P89" i="3"/>
  <c r="P95" i="3" s="1"/>
  <c r="P75" i="3"/>
  <c r="P79" i="3"/>
  <c r="P77" i="3"/>
  <c r="C79" i="3"/>
  <c r="C77" i="3"/>
  <c r="C75" i="3"/>
  <c r="P67" i="3"/>
  <c r="C64" i="3"/>
  <c r="C62" i="3"/>
  <c r="C60" i="3"/>
  <c r="H43" i="2"/>
  <c r="F43" i="2"/>
  <c r="G43" i="2"/>
  <c r="I20" i="2"/>
  <c r="H20" i="2"/>
  <c r="G20" i="2"/>
  <c r="F20" i="2"/>
  <c r="F9" i="1"/>
  <c r="C11" i="1" s="1"/>
  <c r="C13" i="1" s="1"/>
  <c r="H6" i="1"/>
  <c r="P81" i="3" l="1"/>
  <c r="C81" i="3"/>
  <c r="C67" i="3"/>
  <c r="B70" i="3" s="1"/>
  <c r="B71" i="3" s="1"/>
  <c r="C40" i="3" s="1"/>
  <c r="C87" i="3" s="1"/>
  <c r="F45" i="2"/>
  <c r="F22" i="2"/>
  <c r="K22" i="2" s="1"/>
  <c r="G13" i="1"/>
  <c r="H13" i="1"/>
  <c r="C15" i="1"/>
  <c r="C14" i="1"/>
  <c r="C93" i="3" l="1"/>
  <c r="C91" i="3"/>
  <c r="C89" i="3"/>
  <c r="C95" i="3" s="1"/>
  <c r="B98" i="3" s="1"/>
  <c r="B99" i="3" s="1"/>
  <c r="E40" i="3" s="1"/>
  <c r="B84" i="3"/>
  <c r="B85" i="3" s="1"/>
  <c r="D40" i="3" s="1"/>
  <c r="C101" i="3" s="1"/>
  <c r="J45" i="2"/>
  <c r="L45" i="2" s="1"/>
  <c r="K45" i="2"/>
  <c r="F47" i="2" s="1"/>
  <c r="F24" i="2"/>
  <c r="J22" i="2"/>
  <c r="L22" i="2" s="1"/>
  <c r="I13" i="1"/>
  <c r="J13" i="1"/>
  <c r="G14" i="1"/>
  <c r="H14" i="1"/>
  <c r="I14" i="1"/>
  <c r="J14" i="1"/>
  <c r="G15" i="1"/>
  <c r="H15" i="1"/>
  <c r="I15" i="1"/>
  <c r="J15" i="1"/>
  <c r="J47" i="2" l="1"/>
  <c r="L47" i="2" s="1"/>
  <c r="K47" i="2"/>
  <c r="F49" i="2" s="1"/>
  <c r="K24" i="2"/>
  <c r="F26" i="2" s="1"/>
  <c r="J24" i="2"/>
  <c r="L24" i="2" s="1"/>
  <c r="G16" i="1"/>
  <c r="I16" i="1"/>
  <c r="J16" i="1"/>
  <c r="H16" i="1"/>
  <c r="K49" i="2" l="1"/>
  <c r="L49" i="2" s="1"/>
  <c r="J49" i="2"/>
  <c r="F51" i="2" s="1"/>
  <c r="J51" i="2" s="1"/>
  <c r="K51" i="2" s="1"/>
  <c r="L51" i="2" s="1"/>
  <c r="K26" i="2"/>
  <c r="F28" i="2" s="1"/>
  <c r="J28" i="2" s="1"/>
  <c r="J26" i="2"/>
  <c r="L26" i="2" s="1"/>
  <c r="C17" i="1"/>
  <c r="F53" i="2" l="1"/>
  <c r="L28" i="2"/>
  <c r="F30" i="2" s="1"/>
  <c r="K28" i="2"/>
</calcChain>
</file>

<file path=xl/sharedStrings.xml><?xml version="1.0" encoding="utf-8"?>
<sst xmlns="http://schemas.openxmlformats.org/spreadsheetml/2006/main" count="401" uniqueCount="222">
  <si>
    <t>BSIG0(x) = ROTR^2(x) XOR ROTR^13(x) XOR ROTR^22(x)</t>
  </si>
  <si>
    <t xml:space="preserve">ROTR^2(x) </t>
  </si>
  <si>
    <t xml:space="preserve">ROTR^13(x) </t>
  </si>
  <si>
    <t>ROTR^22(x)</t>
  </si>
  <si>
    <t>BSIG0(x) =</t>
  </si>
  <si>
    <t>x=</t>
  </si>
  <si>
    <t>RotR</t>
  </si>
  <si>
    <t>Password:</t>
  </si>
  <si>
    <t>a</t>
  </si>
  <si>
    <t>Codigo ASCII 1:</t>
  </si>
  <si>
    <t>Codigo ASCII 2:</t>
  </si>
  <si>
    <t>Codigo ASCII 3:</t>
  </si>
  <si>
    <t>Codigo ASCII 4:</t>
  </si>
  <si>
    <t>Codigo ASCII 5:</t>
  </si>
  <si>
    <t>Codigo ASCII 6:</t>
  </si>
  <si>
    <t>Codigo ASCII 7:</t>
  </si>
  <si>
    <t>Codigo ASCII 8:</t>
  </si>
  <si>
    <t>Codigo ASCII 9:</t>
  </si>
  <si>
    <t>Codigo ASCII 10:</t>
  </si>
  <si>
    <t>Codigo ASCII 11:</t>
  </si>
  <si>
    <t>Codigo ASCII 12:</t>
  </si>
  <si>
    <t>Codigo ASCII 13:</t>
  </si>
  <si>
    <t>Codigo ASCII 14:</t>
  </si>
  <si>
    <t>Codigo ASCII 15:</t>
  </si>
  <si>
    <t>Codigo ASCII 16:</t>
  </si>
  <si>
    <t>Codigo ASCII 17:</t>
  </si>
  <si>
    <t>Codigo ASCII 18:</t>
  </si>
  <si>
    <t>Codigo ASCII 19:</t>
  </si>
  <si>
    <t>Codigo ASCII 20:</t>
  </si>
  <si>
    <t>b</t>
  </si>
  <si>
    <t>c</t>
  </si>
  <si>
    <t>d</t>
  </si>
  <si>
    <t>.</t>
  </si>
  <si>
    <t>_</t>
  </si>
  <si>
    <t>g</t>
  </si>
  <si>
    <t>p</t>
  </si>
  <si>
    <t>X=</t>
  </si>
  <si>
    <t>ROTR^13(x)</t>
  </si>
  <si>
    <t>BSIG1(x) = ROTR^6(x) XOR ROTR^11(x) XOR ROTR^25(x)</t>
  </si>
  <si>
    <t>ROTR^6(x)</t>
  </si>
  <si>
    <t>ROTR^11(x)</t>
  </si>
  <si>
    <t>ROTR^25(x)</t>
  </si>
  <si>
    <t xml:space="preserve">BSIG1(x) = </t>
  </si>
  <si>
    <t>SSIG0(x) = ROTR^7(x) XOR ROTR^18(x) XOR SHR^3(x)</t>
  </si>
  <si>
    <t>Msg</t>
  </si>
  <si>
    <t>00000000</t>
  </si>
  <si>
    <t>K</t>
  </si>
  <si>
    <t>428a2f98</t>
  </si>
  <si>
    <t>b5c0fbcf</t>
  </si>
  <si>
    <t>e9b5dba5</t>
  </si>
  <si>
    <t>3956c25b</t>
  </si>
  <si>
    <t>59f111f1</t>
  </si>
  <si>
    <t>923f82a4</t>
  </si>
  <si>
    <t>ab1c5ed5</t>
  </si>
  <si>
    <t>d807aa98</t>
  </si>
  <si>
    <t>12835b01</t>
  </si>
  <si>
    <t>243185be</t>
  </si>
  <si>
    <t>550c7dc3</t>
  </si>
  <si>
    <t>72be5d74</t>
  </si>
  <si>
    <t>80deb1fe</t>
  </si>
  <si>
    <t>9bdc06a7</t>
  </si>
  <si>
    <t>c19bf174</t>
  </si>
  <si>
    <t>e49b69c1</t>
  </si>
  <si>
    <t>efbe4786</t>
  </si>
  <si>
    <t>0fc19dc6</t>
  </si>
  <si>
    <t>240ca1cc</t>
  </si>
  <si>
    <t>2de92c6f</t>
  </si>
  <si>
    <t>4a7484aa</t>
  </si>
  <si>
    <t>5cb0a9dc</t>
  </si>
  <si>
    <t>76f988da</t>
  </si>
  <si>
    <t>983e5152</t>
  </si>
  <si>
    <t>a831c66d</t>
  </si>
  <si>
    <t>b00327c8</t>
  </si>
  <si>
    <t>bf597fc7</t>
  </si>
  <si>
    <t>c6e00bf3</t>
  </si>
  <si>
    <t>d5a79147</t>
  </si>
  <si>
    <t>06ca6351</t>
  </si>
  <si>
    <t>27b70a85</t>
  </si>
  <si>
    <t>2e1b2138</t>
  </si>
  <si>
    <t>4d2c6dfc</t>
  </si>
  <si>
    <t>53380d13</t>
  </si>
  <si>
    <t>650a7354</t>
  </si>
  <si>
    <t>766a0abb</t>
  </si>
  <si>
    <t>81c2c92e</t>
  </si>
  <si>
    <t>92722c85</t>
  </si>
  <si>
    <t>a2bfe8a1</t>
  </si>
  <si>
    <t>a81a664b</t>
  </si>
  <si>
    <t>c24b8b70</t>
  </si>
  <si>
    <t>c76c51a3</t>
  </si>
  <si>
    <t>d192e819</t>
  </si>
  <si>
    <t>d6990624</t>
  </si>
  <si>
    <t>f40e3585</t>
  </si>
  <si>
    <t>106aa070</t>
  </si>
  <si>
    <t>19a4c116</t>
  </si>
  <si>
    <t>1e376c08</t>
  </si>
  <si>
    <t>2748774c</t>
  </si>
  <si>
    <t>34b0bcb5</t>
  </si>
  <si>
    <t>391c0cb3</t>
  </si>
  <si>
    <t>4ed8aa4a</t>
  </si>
  <si>
    <t>5b9cca4f</t>
  </si>
  <si>
    <t>682e6ff3</t>
  </si>
  <si>
    <t>748f82ee</t>
  </si>
  <si>
    <t>78a5636f</t>
  </si>
  <si>
    <t>84c87814</t>
  </si>
  <si>
    <t>8cc70208</t>
  </si>
  <si>
    <t>90befffa</t>
  </si>
  <si>
    <t>a4506ceb</t>
  </si>
  <si>
    <t>bef9a3f7</t>
  </si>
  <si>
    <t>c67178f2</t>
  </si>
  <si>
    <t>6a09e667</t>
  </si>
  <si>
    <t>bb67ae85</t>
  </si>
  <si>
    <t>3c6ef372</t>
  </si>
  <si>
    <t>a54ff53a</t>
  </si>
  <si>
    <t>510e527f</t>
  </si>
  <si>
    <t>9b05688c</t>
  </si>
  <si>
    <t>1f83d9ab</t>
  </si>
  <si>
    <t>5be0cd19</t>
  </si>
  <si>
    <t>H0</t>
  </si>
  <si>
    <t>H1</t>
  </si>
  <si>
    <t>H2</t>
  </si>
  <si>
    <t>H3</t>
  </si>
  <si>
    <t>H4</t>
  </si>
  <si>
    <t>H5</t>
  </si>
  <si>
    <t>H6</t>
  </si>
  <si>
    <t>H7</t>
  </si>
  <si>
    <t>71374491</t>
  </si>
  <si>
    <t>14292967</t>
  </si>
  <si>
    <t>Estado inicial do hash</t>
  </si>
  <si>
    <t>(antes de qualquer iteração)</t>
  </si>
  <si>
    <t>M</t>
  </si>
  <si>
    <t>W</t>
  </si>
  <si>
    <t>SSIG1(x) = ROTR^17(x) XOR ROTR^19(x) XOR SHR^10(x)</t>
  </si>
  <si>
    <t>silvajkjoiuku kjhkjhk lkjhkjhkh ytryuugiuygu kjk hhhhh</t>
  </si>
  <si>
    <t>Começa em 16 e vai até 63</t>
  </si>
  <si>
    <t>binario</t>
  </si>
  <si>
    <t>o W real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</si>
  <si>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</si>
  <si>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</si>
  <si>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</si>
  <si>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</si>
  <si>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</si>
  <si>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</si>
  <si>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</si>
  <si>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</si>
  <si>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</si>
  <si>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</si>
  <si>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</si>
  <si>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</si>
  <si>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</si>
  <si>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</si>
  <si>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</si>
  <si>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</si>
  <si>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</si>
  <si>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</si>
  <si>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</si>
  <si>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</si>
  <si>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</si>
  <si>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</si>
  <si>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</si>
  <si>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</si>
  <si>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</si>
  <si>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</si>
  <si>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</si>
  <si>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</si>
  <si>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</si>
  <si>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</si>
  <si>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</si>
  <si>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</si>
  <si>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</si>
  <si>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</si>
  <si>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</si>
  <si>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</si>
  <si>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</si>
  <si>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</si>
  <si>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</si>
  <si>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</si>
  <si>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</si>
  <si>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</si>
  <si>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</si>
  <si>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</si>
  <si>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</si>
  <si>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</si>
  <si>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</si>
  <si>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W63</t>
  </si>
  <si>
    <t>+</t>
  </si>
  <si>
    <t>W9</t>
  </si>
  <si>
    <t>W10</t>
  </si>
  <si>
    <t>W11</t>
  </si>
  <si>
    <t>W12</t>
  </si>
  <si>
    <t>W13</t>
  </si>
  <si>
    <t>W14</t>
  </si>
  <si>
    <t>W15</t>
  </si>
  <si>
    <t>SSIG0(t-15)</t>
  </si>
  <si>
    <t>W1</t>
  </si>
  <si>
    <t>W2</t>
  </si>
  <si>
    <t>W3</t>
  </si>
  <si>
    <t>W4</t>
  </si>
  <si>
    <t>W5</t>
  </si>
  <si>
    <t>W6</t>
  </si>
  <si>
    <t>W7</t>
  </si>
  <si>
    <t>W8</t>
  </si>
  <si>
    <t>SSIG1(W(t-2))</t>
  </si>
  <si>
    <t>W(t-7)</t>
  </si>
  <si>
    <t>Wt =</t>
  </si>
  <si>
    <t>SSIG1(W(14))=</t>
  </si>
  <si>
    <t>ROTR^17(x)</t>
  </si>
  <si>
    <t>ROTR^19(x)</t>
  </si>
  <si>
    <t>SHR^10(x)</t>
  </si>
  <si>
    <t>SSIG0(x) = ROTR^1(x) XOR ROTR^8(x) XOR SHR^7(x)</t>
  </si>
  <si>
    <t>ROTR^1(x)</t>
  </si>
  <si>
    <t>ROTR^8(x)</t>
  </si>
  <si>
    <t>SHR^7(x)</t>
  </si>
  <si>
    <t>SSIG0(W1)=</t>
  </si>
  <si>
    <t>W16 =</t>
  </si>
  <si>
    <t>hexa =</t>
  </si>
  <si>
    <t>SSIG1(W(15))=</t>
  </si>
  <si>
    <t>W17=</t>
  </si>
  <si>
    <t>SSIG1(W(16))=</t>
  </si>
  <si>
    <t>SSIG0(W2)=</t>
  </si>
  <si>
    <t>SSIG0(W3)=</t>
  </si>
  <si>
    <t>SSIG0(W4)=</t>
  </si>
  <si>
    <t>SSIG1(W(19))=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</si>
</sst>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0"/>
      <color rgb="FF212529"/>
      <name val="Consolas"/>
      <family val="3"/>
    </font>
    <font>
      <sz val="11"/>
      <color theme="0" tint="-4.9989318521683403E-2"/>
      <name val="Aptos Narrow"/>
      <family val="2"/>
      <scheme val="minor"/>
    </font>
    <font>
      <b/>
      <sz val="11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4" fillId="0" borderId="0" xfId="0" applyFont="1" applyAlignment="1">
      <alignment vertical="center"/>
    </xf>
    <xf numFmtId="0" fontId="5" fillId="8" borderId="0" xfId="0" applyFont="1" applyFill="1"/>
    <xf numFmtId="0" fontId="5" fillId="0" borderId="0" xfId="0" applyFont="1"/>
    <xf numFmtId="11" fontId="1" fillId="0" borderId="0" xfId="0" applyNumberFormat="1" applyFont="1"/>
    <xf numFmtId="0" fontId="1" fillId="0" borderId="0" xfId="0" quotePrefix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7" borderId="1" xfId="0" applyFill="1" applyBorder="1"/>
    <xf numFmtId="0" fontId="0" fillId="0" borderId="0" xfId="0" quotePrefix="1"/>
    <xf numFmtId="0" fontId="0" fillId="7" borderId="0" xfId="0" applyFill="1" applyAlignment="1">
      <alignment horizontal="left"/>
    </xf>
    <xf numFmtId="0" fontId="6" fillId="0" borderId="0" xfId="0" applyFont="1"/>
    <xf numFmtId="0" fontId="6" fillId="0" borderId="0" xfId="0" quotePrefix="1" applyFont="1"/>
    <xf numFmtId="0" fontId="6" fillId="2" borderId="0" xfId="0" applyFont="1" applyFill="1"/>
    <xf numFmtId="0" fontId="1" fillId="2" borderId="0" xfId="0" applyFont="1" applyFill="1"/>
    <xf numFmtId="0" fontId="1" fillId="2" borderId="0" xfId="0" quotePrefix="1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</xdr:colOff>
      <xdr:row>5</xdr:row>
      <xdr:rowOff>99060</xdr:rowOff>
    </xdr:from>
    <xdr:to>
      <xdr:col>2</xdr:col>
      <xdr:colOff>60960</xdr:colOff>
      <xdr:row>9</xdr:row>
      <xdr:rowOff>175260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087656D3-7921-4CFD-6221-DFE1100D0514}"/>
            </a:ext>
          </a:extLst>
        </xdr:cNvPr>
        <xdr:cNvCxnSpPr/>
      </xdr:nvCxnSpPr>
      <xdr:spPr>
        <a:xfrm flipH="1">
          <a:off x="1272540" y="1013460"/>
          <a:ext cx="7620" cy="8077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251460</xdr:colOff>
      <xdr:row>53</xdr:row>
      <xdr:rowOff>45720</xdr:rowOff>
    </xdr:from>
    <xdr:to>
      <xdr:col>1</xdr:col>
      <xdr:colOff>251460</xdr:colOff>
      <xdr:row>55</xdr:row>
      <xdr:rowOff>106680</xdr:rowOff>
    </xdr:to>
    <xdr:cxnSp macro="">
      <xdr:nvCxnSpPr>
        <xdr:cNvPr id="3" name="Conexão reta unidirecional 2">
          <a:extLst>
            <a:ext uri="{FF2B5EF4-FFF2-40B4-BE49-F238E27FC236}">
              <a16:creationId xmlns:a16="http://schemas.microsoft.com/office/drawing/2014/main" id="{595157E9-2564-3681-E066-14CFCD5C0A46}"/>
            </a:ext>
          </a:extLst>
        </xdr:cNvPr>
        <xdr:cNvCxnSpPr/>
      </xdr:nvCxnSpPr>
      <xdr:spPr>
        <a:xfrm>
          <a:off x="861060" y="9738360"/>
          <a:ext cx="0" cy="4267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198120</xdr:colOff>
      <xdr:row>55</xdr:row>
      <xdr:rowOff>15240</xdr:rowOff>
    </xdr:from>
    <xdr:to>
      <xdr:col>2</xdr:col>
      <xdr:colOff>198120</xdr:colOff>
      <xdr:row>56</xdr:row>
      <xdr:rowOff>15240</xdr:rowOff>
    </xdr:to>
    <xdr:cxnSp macro="">
      <xdr:nvCxnSpPr>
        <xdr:cNvPr id="5" name="Conexão reta unidirecional 4">
          <a:extLst>
            <a:ext uri="{FF2B5EF4-FFF2-40B4-BE49-F238E27FC236}">
              <a16:creationId xmlns:a16="http://schemas.microsoft.com/office/drawing/2014/main" id="{F2F14535-140A-E320-5557-FEE167155041}"/>
            </a:ext>
          </a:extLst>
        </xdr:cNvPr>
        <xdr:cNvCxnSpPr/>
      </xdr:nvCxnSpPr>
      <xdr:spPr>
        <a:xfrm>
          <a:off x="1417320" y="10073640"/>
          <a:ext cx="0" cy="1828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213360</xdr:colOff>
      <xdr:row>55</xdr:row>
      <xdr:rowOff>30480</xdr:rowOff>
    </xdr:from>
    <xdr:to>
      <xdr:col>0</xdr:col>
      <xdr:colOff>213360</xdr:colOff>
      <xdr:row>56</xdr:row>
      <xdr:rowOff>0</xdr:rowOff>
    </xdr:to>
    <xdr:cxnSp macro="">
      <xdr:nvCxnSpPr>
        <xdr:cNvPr id="7" name="Conexão reta unidirecional 6">
          <a:extLst>
            <a:ext uri="{FF2B5EF4-FFF2-40B4-BE49-F238E27FC236}">
              <a16:creationId xmlns:a16="http://schemas.microsoft.com/office/drawing/2014/main" id="{F6204103-174A-05C9-9E6F-5963AA75C19A}"/>
            </a:ext>
          </a:extLst>
        </xdr:cNvPr>
        <xdr:cNvCxnSpPr/>
      </xdr:nvCxnSpPr>
      <xdr:spPr>
        <a:xfrm>
          <a:off x="213360" y="10088880"/>
          <a:ext cx="0" cy="1524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175260</xdr:colOff>
      <xdr:row>53</xdr:row>
      <xdr:rowOff>38100</xdr:rowOff>
    </xdr:from>
    <xdr:to>
      <xdr:col>7</xdr:col>
      <xdr:colOff>182880</xdr:colOff>
      <xdr:row>55</xdr:row>
      <xdr:rowOff>152400</xdr:rowOff>
    </xdr:to>
    <xdr:cxnSp macro="">
      <xdr:nvCxnSpPr>
        <xdr:cNvPr id="9" name="Conexão reta unidirecional 8">
          <a:extLst>
            <a:ext uri="{FF2B5EF4-FFF2-40B4-BE49-F238E27FC236}">
              <a16:creationId xmlns:a16="http://schemas.microsoft.com/office/drawing/2014/main" id="{3D9DFD0A-F1E2-F32E-D1D4-76B877EE0655}"/>
            </a:ext>
          </a:extLst>
        </xdr:cNvPr>
        <xdr:cNvCxnSpPr/>
      </xdr:nvCxnSpPr>
      <xdr:spPr>
        <a:xfrm>
          <a:off x="5364480" y="9730740"/>
          <a:ext cx="7620" cy="4800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68580</xdr:colOff>
      <xdr:row>53</xdr:row>
      <xdr:rowOff>30480</xdr:rowOff>
    </xdr:from>
    <xdr:to>
      <xdr:col>13</xdr:col>
      <xdr:colOff>76200</xdr:colOff>
      <xdr:row>55</xdr:row>
      <xdr:rowOff>144780</xdr:rowOff>
    </xdr:to>
    <xdr:cxnSp macro="">
      <xdr:nvCxnSpPr>
        <xdr:cNvPr id="4" name="Conexão reta unidirecional 3">
          <a:extLst>
            <a:ext uri="{FF2B5EF4-FFF2-40B4-BE49-F238E27FC236}">
              <a16:creationId xmlns:a16="http://schemas.microsoft.com/office/drawing/2014/main" id="{976113CC-8D93-45EB-8E34-902742EE48A3}"/>
            </a:ext>
          </a:extLst>
        </xdr:cNvPr>
        <xdr:cNvCxnSpPr/>
      </xdr:nvCxnSpPr>
      <xdr:spPr>
        <a:xfrm>
          <a:off x="9395460" y="9723120"/>
          <a:ext cx="7620" cy="4800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0</xdr:row>
      <xdr:rowOff>0</xdr:rowOff>
    </xdr:from>
    <xdr:to>
      <xdr:col>38</xdr:col>
      <xdr:colOff>245066</xdr:colOff>
      <xdr:row>39</xdr:row>
      <xdr:rowOff>130544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82402E-5D4C-397F-191B-1F3489398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01925" y="0"/>
          <a:ext cx="8783276" cy="7192379"/>
        </a:xfrm>
        <a:prstGeom prst="rect">
          <a:avLst/>
        </a:prstGeom>
      </xdr:spPr>
    </xdr:pic>
    <xdr:clientData/>
  </xdr:twoCellAnchor>
  <xdr:twoCellAnchor>
    <xdr:from>
      <xdr:col>6</xdr:col>
      <xdr:colOff>99060</xdr:colOff>
      <xdr:row>21</xdr:row>
      <xdr:rowOff>76200</xdr:rowOff>
    </xdr:from>
    <xdr:to>
      <xdr:col>8</xdr:col>
      <xdr:colOff>579120</xdr:colOff>
      <xdr:row>21</xdr:row>
      <xdr:rowOff>83820</xdr:rowOff>
    </xdr:to>
    <xdr:cxnSp macro="">
      <xdr:nvCxnSpPr>
        <xdr:cNvPr id="4" name="Conexão reta unidirecional 3">
          <a:extLst>
            <a:ext uri="{FF2B5EF4-FFF2-40B4-BE49-F238E27FC236}">
              <a16:creationId xmlns:a16="http://schemas.microsoft.com/office/drawing/2014/main" id="{B6618453-791C-2418-290A-8ED85C8F4470}"/>
            </a:ext>
          </a:extLst>
        </xdr:cNvPr>
        <xdr:cNvCxnSpPr/>
      </xdr:nvCxnSpPr>
      <xdr:spPr>
        <a:xfrm flipV="1">
          <a:off x="4732020" y="3916680"/>
          <a:ext cx="16992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23</xdr:row>
      <xdr:rowOff>99060</xdr:rowOff>
    </xdr:from>
    <xdr:to>
      <xdr:col>8</xdr:col>
      <xdr:colOff>556260</xdr:colOff>
      <xdr:row>23</xdr:row>
      <xdr:rowOff>106680</xdr:rowOff>
    </xdr:to>
    <xdr:cxnSp macro="">
      <xdr:nvCxnSpPr>
        <xdr:cNvPr id="5" name="Conexão reta unidirecional 4">
          <a:extLst>
            <a:ext uri="{FF2B5EF4-FFF2-40B4-BE49-F238E27FC236}">
              <a16:creationId xmlns:a16="http://schemas.microsoft.com/office/drawing/2014/main" id="{7E17E47D-3FDD-45E3-B6C7-8BE5225FA51D}"/>
            </a:ext>
          </a:extLst>
        </xdr:cNvPr>
        <xdr:cNvCxnSpPr/>
      </xdr:nvCxnSpPr>
      <xdr:spPr>
        <a:xfrm flipV="1">
          <a:off x="4709160" y="4305300"/>
          <a:ext cx="16992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91440</xdr:colOff>
      <xdr:row>25</xdr:row>
      <xdr:rowOff>99060</xdr:rowOff>
    </xdr:from>
    <xdr:to>
      <xdr:col>8</xdr:col>
      <xdr:colOff>571500</xdr:colOff>
      <xdr:row>25</xdr:row>
      <xdr:rowOff>106680</xdr:rowOff>
    </xdr:to>
    <xdr:cxnSp macro="">
      <xdr:nvCxnSpPr>
        <xdr:cNvPr id="6" name="Conexão reta unidirecional 5">
          <a:extLst>
            <a:ext uri="{FF2B5EF4-FFF2-40B4-BE49-F238E27FC236}">
              <a16:creationId xmlns:a16="http://schemas.microsoft.com/office/drawing/2014/main" id="{649F084A-2464-4350-93C2-8B0E3755904B}"/>
            </a:ext>
          </a:extLst>
        </xdr:cNvPr>
        <xdr:cNvCxnSpPr/>
      </xdr:nvCxnSpPr>
      <xdr:spPr>
        <a:xfrm flipV="1">
          <a:off x="4724400" y="4671060"/>
          <a:ext cx="16992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27</xdr:row>
      <xdr:rowOff>83820</xdr:rowOff>
    </xdr:from>
    <xdr:to>
      <xdr:col>8</xdr:col>
      <xdr:colOff>563880</xdr:colOff>
      <xdr:row>27</xdr:row>
      <xdr:rowOff>91440</xdr:rowOff>
    </xdr:to>
    <xdr:cxnSp macro="">
      <xdr:nvCxnSpPr>
        <xdr:cNvPr id="7" name="Conexão reta unidirecional 6">
          <a:extLst>
            <a:ext uri="{FF2B5EF4-FFF2-40B4-BE49-F238E27FC236}">
              <a16:creationId xmlns:a16="http://schemas.microsoft.com/office/drawing/2014/main" id="{6E82B1A9-535B-4944-A379-B26CF3725391}"/>
            </a:ext>
          </a:extLst>
        </xdr:cNvPr>
        <xdr:cNvCxnSpPr/>
      </xdr:nvCxnSpPr>
      <xdr:spPr>
        <a:xfrm flipV="1">
          <a:off x="4716780" y="5021580"/>
          <a:ext cx="16992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83820</xdr:colOff>
      <xdr:row>44</xdr:row>
      <xdr:rowOff>99060</xdr:rowOff>
    </xdr:from>
    <xdr:to>
      <xdr:col>8</xdr:col>
      <xdr:colOff>563880</xdr:colOff>
      <xdr:row>44</xdr:row>
      <xdr:rowOff>106680</xdr:rowOff>
    </xdr:to>
    <xdr:cxnSp macro="">
      <xdr:nvCxnSpPr>
        <xdr:cNvPr id="8" name="Conexão reta unidirecional 7">
          <a:extLst>
            <a:ext uri="{FF2B5EF4-FFF2-40B4-BE49-F238E27FC236}">
              <a16:creationId xmlns:a16="http://schemas.microsoft.com/office/drawing/2014/main" id="{44D541E9-B735-4670-96E5-BBCA2B494019}"/>
            </a:ext>
          </a:extLst>
        </xdr:cNvPr>
        <xdr:cNvCxnSpPr/>
      </xdr:nvCxnSpPr>
      <xdr:spPr>
        <a:xfrm flipV="1">
          <a:off x="4716780" y="8145780"/>
          <a:ext cx="16992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68580</xdr:colOff>
      <xdr:row>46</xdr:row>
      <xdr:rowOff>76200</xdr:rowOff>
    </xdr:from>
    <xdr:to>
      <xdr:col>8</xdr:col>
      <xdr:colOff>548640</xdr:colOff>
      <xdr:row>46</xdr:row>
      <xdr:rowOff>83820</xdr:rowOff>
    </xdr:to>
    <xdr:cxnSp macro="">
      <xdr:nvCxnSpPr>
        <xdr:cNvPr id="9" name="Conexão reta unidirecional 8">
          <a:extLst>
            <a:ext uri="{FF2B5EF4-FFF2-40B4-BE49-F238E27FC236}">
              <a16:creationId xmlns:a16="http://schemas.microsoft.com/office/drawing/2014/main" id="{22304F5E-00AB-4E78-B25D-8A086C863996}"/>
            </a:ext>
          </a:extLst>
        </xdr:cNvPr>
        <xdr:cNvCxnSpPr/>
      </xdr:nvCxnSpPr>
      <xdr:spPr>
        <a:xfrm flipV="1">
          <a:off x="4701540" y="8488680"/>
          <a:ext cx="16992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</xdr:colOff>
      <xdr:row>48</xdr:row>
      <xdr:rowOff>68580</xdr:rowOff>
    </xdr:from>
    <xdr:to>
      <xdr:col>8</xdr:col>
      <xdr:colOff>525780</xdr:colOff>
      <xdr:row>48</xdr:row>
      <xdr:rowOff>76200</xdr:rowOff>
    </xdr:to>
    <xdr:cxnSp macro="">
      <xdr:nvCxnSpPr>
        <xdr:cNvPr id="10" name="Conexão reta unidirecional 9">
          <a:extLst>
            <a:ext uri="{FF2B5EF4-FFF2-40B4-BE49-F238E27FC236}">
              <a16:creationId xmlns:a16="http://schemas.microsoft.com/office/drawing/2014/main" id="{0A5AC62D-5776-418C-9339-F328C55206E1}"/>
            </a:ext>
          </a:extLst>
        </xdr:cNvPr>
        <xdr:cNvCxnSpPr/>
      </xdr:nvCxnSpPr>
      <xdr:spPr>
        <a:xfrm flipV="1">
          <a:off x="4678680" y="8846820"/>
          <a:ext cx="16992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45720</xdr:colOff>
      <xdr:row>50</xdr:row>
      <xdr:rowOff>83820</xdr:rowOff>
    </xdr:from>
    <xdr:to>
      <xdr:col>8</xdr:col>
      <xdr:colOff>525780</xdr:colOff>
      <xdr:row>50</xdr:row>
      <xdr:rowOff>91440</xdr:rowOff>
    </xdr:to>
    <xdr:cxnSp macro="">
      <xdr:nvCxnSpPr>
        <xdr:cNvPr id="11" name="Conexão reta unidirecional 10">
          <a:extLst>
            <a:ext uri="{FF2B5EF4-FFF2-40B4-BE49-F238E27FC236}">
              <a16:creationId xmlns:a16="http://schemas.microsoft.com/office/drawing/2014/main" id="{2EBB8ACC-2653-44CD-9567-1729B4AE4B1F}"/>
            </a:ext>
          </a:extLst>
        </xdr:cNvPr>
        <xdr:cNvCxnSpPr/>
      </xdr:nvCxnSpPr>
      <xdr:spPr>
        <a:xfrm flipV="1">
          <a:off x="4678680" y="9227820"/>
          <a:ext cx="16992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D49D-482F-411A-92B6-E235633AFE22}">
  <dimension ref="B2:J20"/>
  <sheetViews>
    <sheetView zoomScale="130" zoomScaleNormal="130" workbookViewId="0">
      <selection activeCell="C13" sqref="C13"/>
    </sheetView>
  </sheetViews>
  <sheetFormatPr defaultRowHeight="14.4" x14ac:dyDescent="0.3"/>
  <cols>
    <col min="2" max="2" width="12.33203125" customWidth="1"/>
    <col min="3" max="3" width="12.44140625" customWidth="1"/>
    <col min="5" max="5" width="10" bestFit="1" customWidth="1"/>
    <col min="6" max="6" width="9.5546875" bestFit="1" customWidth="1"/>
    <col min="7" max="7" width="11" bestFit="1" customWidth="1"/>
    <col min="8" max="8" width="12.77734375" customWidth="1"/>
  </cols>
  <sheetData>
    <row r="2" spans="2:10" x14ac:dyDescent="0.3">
      <c r="I2" t="s">
        <v>0</v>
      </c>
    </row>
    <row r="6" spans="2:10" x14ac:dyDescent="0.3">
      <c r="B6" t="s">
        <v>5</v>
      </c>
      <c r="C6">
        <v>352617189</v>
      </c>
      <c r="D6">
        <f>TRUNC(C6/(256^3))</f>
        <v>21</v>
      </c>
      <c r="E6">
        <f>MOD(C6,256^3)</f>
        <v>295653</v>
      </c>
      <c r="F6" t="str">
        <f>DEC2BIN(D6,8)</f>
        <v>00010101</v>
      </c>
      <c r="G6" t="str">
        <f>DEC2HEX(D6,2)</f>
        <v>15</v>
      </c>
      <c r="H6" t="str">
        <f>"0x"&amp;D6&amp;G7&amp;G8&amp;G9</f>
        <v>0x210482E5</v>
      </c>
    </row>
    <row r="7" spans="2:10" x14ac:dyDescent="0.3">
      <c r="C7">
        <f>+E6</f>
        <v>295653</v>
      </c>
      <c r="D7">
        <f>TRUNC(C7/(256^2))</f>
        <v>4</v>
      </c>
      <c r="E7">
        <f>MOD(C7,256^2)</f>
        <v>33509</v>
      </c>
      <c r="F7" t="str">
        <f t="shared" ref="F7:F9" si="0">DEC2BIN(D7,8)</f>
        <v>00000100</v>
      </c>
      <c r="G7" t="str">
        <f>DEC2HEX(D7,2)</f>
        <v>04</v>
      </c>
    </row>
    <row r="8" spans="2:10" x14ac:dyDescent="0.3">
      <c r="C8">
        <f t="shared" ref="C8:C9" si="1">+E7</f>
        <v>33509</v>
      </c>
      <c r="D8">
        <f>TRUNC(C8/(256))</f>
        <v>130</v>
      </c>
      <c r="E8">
        <f>MOD(C8,256)</f>
        <v>229</v>
      </c>
      <c r="F8" t="str">
        <f t="shared" si="0"/>
        <v>10000010</v>
      </c>
      <c r="G8" t="str">
        <f>DEC2HEX(D8,2)</f>
        <v>82</v>
      </c>
    </row>
    <row r="9" spans="2:10" x14ac:dyDescent="0.3">
      <c r="C9">
        <f t="shared" si="1"/>
        <v>229</v>
      </c>
      <c r="D9">
        <f>+C9</f>
        <v>229</v>
      </c>
      <c r="E9">
        <f t="shared" ref="E9" si="2">MOD(C9,256^2)</f>
        <v>229</v>
      </c>
      <c r="F9" t="str">
        <f t="shared" si="0"/>
        <v>11100101</v>
      </c>
      <c r="G9" t="str">
        <f>DEC2HEX(D9,2)</f>
        <v>E5</v>
      </c>
    </row>
    <row r="11" spans="2:10" x14ac:dyDescent="0.3">
      <c r="C11" s="1" t="str">
        <f>F6&amp;F7&amp;F8&amp;F9</f>
        <v>00010101000001001000001011100101</v>
      </c>
      <c r="H11" s="1"/>
    </row>
    <row r="13" spans="2:10" x14ac:dyDescent="0.3">
      <c r="B13" t="s">
        <v>1</v>
      </c>
      <c r="C13" s="1" t="str">
        <f>MID(C11,31,2)&amp;MID(C11,1,30)</f>
        <v>01000101010000010010000010111001</v>
      </c>
      <c r="G13">
        <f>BIN2DEC(LEFT(C13,8))</f>
        <v>69</v>
      </c>
      <c r="H13">
        <f>BIN2DEC(MID(C13,9,8))</f>
        <v>65</v>
      </c>
      <c r="I13">
        <f>BIN2DEC(MID(C13,17,8))</f>
        <v>32</v>
      </c>
      <c r="J13">
        <f>BIN2DEC(RIGHT(C13,8))</f>
        <v>185</v>
      </c>
    </row>
    <row r="14" spans="2:10" x14ac:dyDescent="0.3">
      <c r="B14" t="s">
        <v>2</v>
      </c>
      <c r="C14" s="1" t="str">
        <f>MID(C11,14,13)&amp;MID(C11,1,19)</f>
        <v>10010000010110001010100000100100</v>
      </c>
      <c r="G14">
        <f t="shared" ref="G14:G15" si="3">BIN2DEC(LEFT(C14,8))</f>
        <v>144</v>
      </c>
      <c r="H14">
        <f t="shared" ref="H14:H15" si="4">BIN2DEC(MID(C14,9,8))</f>
        <v>88</v>
      </c>
      <c r="I14">
        <f t="shared" ref="I14:I15" si="5">BIN2DEC(MID(C14,17,8))</f>
        <v>168</v>
      </c>
      <c r="J14">
        <f t="shared" ref="J14:J15" si="6">BIN2DEC(RIGHT(C14,8))</f>
        <v>36</v>
      </c>
    </row>
    <row r="15" spans="2:10" x14ac:dyDescent="0.3">
      <c r="B15" t="s">
        <v>3</v>
      </c>
      <c r="C15" s="1" t="str">
        <f>MID(C11,11,22)&amp;MID(C11,1,10)</f>
        <v>00010010000010111001010001010100</v>
      </c>
      <c r="G15">
        <f t="shared" si="3"/>
        <v>18</v>
      </c>
      <c r="H15">
        <f t="shared" si="4"/>
        <v>11</v>
      </c>
      <c r="I15">
        <f t="shared" si="5"/>
        <v>148</v>
      </c>
      <c r="J15">
        <f t="shared" si="6"/>
        <v>84</v>
      </c>
    </row>
    <row r="16" spans="2:10" x14ac:dyDescent="0.3">
      <c r="G16">
        <f>_xlfn.BITXOR(_xlfn.BITXOR(G13,G14),G15)</f>
        <v>199</v>
      </c>
      <c r="H16">
        <f t="shared" ref="H16:J16" si="7">_xlfn.BITXOR(_xlfn.BITXOR(H13,H14),H15)</f>
        <v>18</v>
      </c>
      <c r="I16">
        <f t="shared" si="7"/>
        <v>28</v>
      </c>
      <c r="J16">
        <f t="shared" si="7"/>
        <v>201</v>
      </c>
    </row>
    <row r="17" spans="2:3" x14ac:dyDescent="0.3">
      <c r="B17" t="s">
        <v>4</v>
      </c>
      <c r="C17">
        <f>G16*256^3+H16*256^2+I16*256+J16</f>
        <v>3339853001</v>
      </c>
    </row>
    <row r="20" spans="2:3" x14ac:dyDescent="0.3">
      <c r="B20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D046D-28AD-4BC9-9A0D-D58DD02CCE20}">
  <dimension ref="A1:T168"/>
  <sheetViews>
    <sheetView tabSelected="1" topLeftCell="A92" workbookViewId="0">
      <selection activeCell="Q109" sqref="Q109"/>
    </sheetView>
  </sheetViews>
  <sheetFormatPr defaultRowHeight="14.4" x14ac:dyDescent="0.3"/>
  <cols>
    <col min="3" max="3" width="13" customWidth="1"/>
    <col min="4" max="10" width="11.21875" customWidth="1"/>
  </cols>
  <sheetData>
    <row r="1" spans="2:19" x14ac:dyDescent="0.3">
      <c r="B1" t="s">
        <v>44</v>
      </c>
      <c r="C1" s="17" t="s">
        <v>132</v>
      </c>
      <c r="D1" s="17"/>
      <c r="E1" s="17"/>
      <c r="F1" s="17"/>
      <c r="G1" s="17"/>
      <c r="H1" s="17"/>
      <c r="I1" s="17"/>
      <c r="J1" s="17"/>
      <c r="L1">
        <f>LEN(C1)</f>
        <v>54</v>
      </c>
      <c r="M1">
        <f>L1*8</f>
        <v>432</v>
      </c>
      <c r="N1" t="str">
        <f>DEC2HEX(M1,4)</f>
        <v>01B0</v>
      </c>
    </row>
    <row r="2" spans="2:19" x14ac:dyDescent="0.3">
      <c r="L2" s="9">
        <v>1</v>
      </c>
      <c r="M2" s="9">
        <v>2</v>
      </c>
      <c r="N2" s="9">
        <v>3</v>
      </c>
      <c r="O2" s="9">
        <v>4</v>
      </c>
      <c r="P2" s="9">
        <v>5</v>
      </c>
      <c r="Q2" s="9">
        <v>6</v>
      </c>
      <c r="R2" s="9">
        <v>7</v>
      </c>
      <c r="S2" s="9">
        <v>8</v>
      </c>
    </row>
    <row r="3" spans="2:19" x14ac:dyDescent="0.3">
      <c r="B3" t="s">
        <v>129</v>
      </c>
      <c r="C3" s="2" t="str">
        <f>DEC2BIN(L3,8)</f>
        <v>01110011</v>
      </c>
      <c r="D3" s="2" t="str">
        <f t="shared" ref="D3:J3" si="0">DEC2BIN(M3,8)</f>
        <v>01101001</v>
      </c>
      <c r="E3" s="2" t="str">
        <f t="shared" si="0"/>
        <v>01101100</v>
      </c>
      <c r="F3" s="2" t="str">
        <f t="shared" si="0"/>
        <v>01110110</v>
      </c>
      <c r="G3" s="2" t="str">
        <f t="shared" si="0"/>
        <v>01100001</v>
      </c>
      <c r="H3" s="2" t="str">
        <f t="shared" si="0"/>
        <v>01101010</v>
      </c>
      <c r="I3" s="2" t="str">
        <f t="shared" si="0"/>
        <v>01101011</v>
      </c>
      <c r="J3" s="2" t="str">
        <f t="shared" si="0"/>
        <v>01101010</v>
      </c>
      <c r="K3" s="10">
        <v>0</v>
      </c>
      <c r="L3">
        <f>IF($L$1&gt;=L$2+$K3,CODE(MID($C$1,L$2+$K3,1)),0)</f>
        <v>115</v>
      </c>
      <c r="M3">
        <f>IF($L$1&gt;=M$2+$K3,CODE(MID($C$1,M$2+$K3,1)),IF(M$2+$K3=($L$1+1),128,0))</f>
        <v>105</v>
      </c>
      <c r="N3">
        <f t="shared" ref="N3:S10" si="1">IF($L$1&gt;=N$2+$K3,CODE(MID($C$1,N$2+$K3,1)),IF(N$2+$K3=($L$1+1),128,0))</f>
        <v>108</v>
      </c>
      <c r="O3">
        <f t="shared" si="1"/>
        <v>118</v>
      </c>
      <c r="P3">
        <f t="shared" si="1"/>
        <v>97</v>
      </c>
      <c r="Q3">
        <f t="shared" si="1"/>
        <v>106</v>
      </c>
      <c r="R3">
        <f t="shared" si="1"/>
        <v>107</v>
      </c>
      <c r="S3">
        <f t="shared" si="1"/>
        <v>106</v>
      </c>
    </row>
    <row r="4" spans="2:19" x14ac:dyDescent="0.3">
      <c r="C4" s="2" t="str">
        <f t="shared" ref="C4:C10" si="2">DEC2BIN(L4,8)</f>
        <v>01101111</v>
      </c>
      <c r="D4" s="2" t="str">
        <f t="shared" ref="D4:D10" si="3">DEC2BIN(M4,8)</f>
        <v>01101001</v>
      </c>
      <c r="E4" s="2" t="str">
        <f t="shared" ref="E4:E10" si="4">DEC2BIN(N4,8)</f>
        <v>01110101</v>
      </c>
      <c r="F4" s="2" t="str">
        <f t="shared" ref="F4:F10" si="5">DEC2BIN(O4,8)</f>
        <v>01101011</v>
      </c>
      <c r="G4" s="2" t="str">
        <f t="shared" ref="G4:G9" si="6">DEC2BIN(P4,8)</f>
        <v>01110101</v>
      </c>
      <c r="H4" s="2" t="str">
        <f t="shared" ref="H4:H9" si="7">DEC2BIN(Q4,8)</f>
        <v>00100000</v>
      </c>
      <c r="I4" s="2" t="str">
        <f t="shared" ref="I4:I9" si="8">DEC2BIN(R4,8)</f>
        <v>01101011</v>
      </c>
      <c r="J4" s="2" t="str">
        <f t="shared" ref="J4:J9" si="9">DEC2BIN(S4,8)</f>
        <v>01101010</v>
      </c>
      <c r="K4" s="10">
        <v>8</v>
      </c>
      <c r="L4">
        <f t="shared" ref="L4:M10" si="10">IF($L$1&gt;=L$2+$K4,CODE(MID($C$1,L$2+$K4,1)),IF(L$2+$K4=($L$1+1),128,0))</f>
        <v>111</v>
      </c>
      <c r="M4">
        <f t="shared" si="10"/>
        <v>105</v>
      </c>
      <c r="N4">
        <f t="shared" si="1"/>
        <v>117</v>
      </c>
      <c r="O4">
        <f t="shared" si="1"/>
        <v>107</v>
      </c>
      <c r="P4">
        <f t="shared" si="1"/>
        <v>117</v>
      </c>
      <c r="Q4">
        <f t="shared" si="1"/>
        <v>32</v>
      </c>
      <c r="R4">
        <f t="shared" si="1"/>
        <v>107</v>
      </c>
      <c r="S4">
        <f t="shared" si="1"/>
        <v>106</v>
      </c>
    </row>
    <row r="5" spans="2:19" x14ac:dyDescent="0.3">
      <c r="C5" s="2" t="str">
        <f t="shared" si="2"/>
        <v>01101000</v>
      </c>
      <c r="D5" s="2" t="str">
        <f t="shared" si="3"/>
        <v>01101011</v>
      </c>
      <c r="E5" s="2" t="str">
        <f t="shared" si="4"/>
        <v>01101010</v>
      </c>
      <c r="F5" s="2" t="str">
        <f t="shared" si="5"/>
        <v>01101000</v>
      </c>
      <c r="G5" s="2" t="str">
        <f t="shared" si="6"/>
        <v>01101011</v>
      </c>
      <c r="H5" s="2" t="str">
        <f t="shared" si="7"/>
        <v>00100000</v>
      </c>
      <c r="I5" s="2" t="str">
        <f t="shared" si="8"/>
        <v>01101100</v>
      </c>
      <c r="J5" s="2" t="str">
        <f t="shared" si="9"/>
        <v>01101011</v>
      </c>
      <c r="K5" s="10">
        <v>16</v>
      </c>
      <c r="L5">
        <f t="shared" si="10"/>
        <v>104</v>
      </c>
      <c r="M5">
        <f t="shared" si="10"/>
        <v>107</v>
      </c>
      <c r="N5">
        <f t="shared" si="1"/>
        <v>106</v>
      </c>
      <c r="O5">
        <f t="shared" si="1"/>
        <v>104</v>
      </c>
      <c r="P5">
        <f t="shared" si="1"/>
        <v>107</v>
      </c>
      <c r="Q5">
        <f t="shared" si="1"/>
        <v>32</v>
      </c>
      <c r="R5">
        <f t="shared" si="1"/>
        <v>108</v>
      </c>
      <c r="S5">
        <f t="shared" si="1"/>
        <v>107</v>
      </c>
    </row>
    <row r="6" spans="2:19" x14ac:dyDescent="0.3">
      <c r="C6" s="2" t="str">
        <f t="shared" si="2"/>
        <v>01101010</v>
      </c>
      <c r="D6" s="2" t="str">
        <f t="shared" si="3"/>
        <v>01101000</v>
      </c>
      <c r="E6" s="2" t="str">
        <f t="shared" si="4"/>
        <v>01101011</v>
      </c>
      <c r="F6" s="2" t="str">
        <f t="shared" si="5"/>
        <v>01101010</v>
      </c>
      <c r="G6" s="2" t="str">
        <f t="shared" si="6"/>
        <v>01101000</v>
      </c>
      <c r="H6" s="2" t="str">
        <f t="shared" si="7"/>
        <v>01101011</v>
      </c>
      <c r="I6" s="2" t="str">
        <f t="shared" si="8"/>
        <v>01101000</v>
      </c>
      <c r="J6" s="2" t="str">
        <f t="shared" si="9"/>
        <v>00100000</v>
      </c>
      <c r="K6" s="10">
        <v>24</v>
      </c>
      <c r="L6">
        <f t="shared" si="10"/>
        <v>106</v>
      </c>
      <c r="M6">
        <f t="shared" si="10"/>
        <v>104</v>
      </c>
      <c r="N6">
        <f t="shared" si="1"/>
        <v>107</v>
      </c>
      <c r="O6">
        <f t="shared" si="1"/>
        <v>106</v>
      </c>
      <c r="P6">
        <f t="shared" si="1"/>
        <v>104</v>
      </c>
      <c r="Q6">
        <f t="shared" si="1"/>
        <v>107</v>
      </c>
      <c r="R6">
        <f t="shared" si="1"/>
        <v>104</v>
      </c>
      <c r="S6">
        <f t="shared" si="1"/>
        <v>32</v>
      </c>
    </row>
    <row r="7" spans="2:19" x14ac:dyDescent="0.3">
      <c r="C7" s="2" t="str">
        <f t="shared" si="2"/>
        <v>01111001</v>
      </c>
      <c r="D7" s="2" t="str">
        <f t="shared" si="3"/>
        <v>01110100</v>
      </c>
      <c r="E7" s="2" t="str">
        <f t="shared" si="4"/>
        <v>01110010</v>
      </c>
      <c r="F7" s="2" t="str">
        <f t="shared" si="5"/>
        <v>01111001</v>
      </c>
      <c r="G7" s="2" t="str">
        <f t="shared" si="6"/>
        <v>01110101</v>
      </c>
      <c r="H7" s="2" t="str">
        <f t="shared" si="7"/>
        <v>01110101</v>
      </c>
      <c r="I7" s="2" t="str">
        <f t="shared" si="8"/>
        <v>01100111</v>
      </c>
      <c r="J7" s="2" t="str">
        <f t="shared" si="9"/>
        <v>01101001</v>
      </c>
      <c r="K7" s="10">
        <v>32</v>
      </c>
      <c r="L7">
        <f t="shared" si="10"/>
        <v>121</v>
      </c>
      <c r="M7">
        <f t="shared" si="10"/>
        <v>116</v>
      </c>
      <c r="N7">
        <f t="shared" si="1"/>
        <v>114</v>
      </c>
      <c r="O7">
        <f t="shared" si="1"/>
        <v>121</v>
      </c>
      <c r="P7">
        <f t="shared" si="1"/>
        <v>117</v>
      </c>
      <c r="Q7">
        <f t="shared" si="1"/>
        <v>117</v>
      </c>
      <c r="R7">
        <f t="shared" si="1"/>
        <v>103</v>
      </c>
      <c r="S7">
        <f t="shared" si="1"/>
        <v>105</v>
      </c>
    </row>
    <row r="8" spans="2:19" x14ac:dyDescent="0.3">
      <c r="C8" s="2" t="str">
        <f t="shared" si="2"/>
        <v>01110101</v>
      </c>
      <c r="D8" s="2" t="str">
        <f t="shared" si="3"/>
        <v>01111001</v>
      </c>
      <c r="E8" s="2" t="str">
        <f t="shared" si="4"/>
        <v>01100111</v>
      </c>
      <c r="F8" s="2" t="str">
        <f t="shared" si="5"/>
        <v>01110101</v>
      </c>
      <c r="G8" s="2" t="str">
        <f t="shared" si="6"/>
        <v>00100000</v>
      </c>
      <c r="H8" s="2" t="str">
        <f t="shared" si="7"/>
        <v>01101011</v>
      </c>
      <c r="I8" s="2" t="str">
        <f t="shared" si="8"/>
        <v>01101010</v>
      </c>
      <c r="J8" s="2" t="str">
        <f t="shared" si="9"/>
        <v>01101011</v>
      </c>
      <c r="K8" s="10">
        <v>40</v>
      </c>
      <c r="L8">
        <f t="shared" si="10"/>
        <v>117</v>
      </c>
      <c r="M8">
        <f t="shared" si="10"/>
        <v>121</v>
      </c>
      <c r="N8">
        <f t="shared" si="1"/>
        <v>103</v>
      </c>
      <c r="O8">
        <f t="shared" si="1"/>
        <v>117</v>
      </c>
      <c r="P8">
        <f t="shared" si="1"/>
        <v>32</v>
      </c>
      <c r="Q8">
        <f t="shared" si="1"/>
        <v>107</v>
      </c>
      <c r="R8">
        <f t="shared" si="1"/>
        <v>106</v>
      </c>
      <c r="S8">
        <f t="shared" si="1"/>
        <v>107</v>
      </c>
    </row>
    <row r="9" spans="2:19" x14ac:dyDescent="0.3">
      <c r="C9" s="2" t="str">
        <f t="shared" si="2"/>
        <v>00100000</v>
      </c>
      <c r="D9" s="2" t="str">
        <f t="shared" si="3"/>
        <v>01101000</v>
      </c>
      <c r="E9" s="2" t="str">
        <f t="shared" si="4"/>
        <v>01101000</v>
      </c>
      <c r="F9" s="2" t="str">
        <f t="shared" si="5"/>
        <v>01101000</v>
      </c>
      <c r="G9" s="2" t="str">
        <f t="shared" si="6"/>
        <v>01101000</v>
      </c>
      <c r="H9" s="2" t="str">
        <f t="shared" si="7"/>
        <v>01101000</v>
      </c>
      <c r="I9" s="2" t="str">
        <f t="shared" si="8"/>
        <v>10000000</v>
      </c>
      <c r="J9" s="2" t="str">
        <f t="shared" si="9"/>
        <v>00000000</v>
      </c>
      <c r="K9" s="10">
        <v>48</v>
      </c>
      <c r="L9">
        <f t="shared" si="10"/>
        <v>32</v>
      </c>
      <c r="M9">
        <f t="shared" si="10"/>
        <v>104</v>
      </c>
      <c r="N9">
        <f t="shared" si="1"/>
        <v>104</v>
      </c>
      <c r="O9">
        <f t="shared" si="1"/>
        <v>104</v>
      </c>
      <c r="P9">
        <f t="shared" si="1"/>
        <v>104</v>
      </c>
      <c r="Q9">
        <f t="shared" si="1"/>
        <v>104</v>
      </c>
      <c r="R9">
        <f t="shared" si="1"/>
        <v>128</v>
      </c>
      <c r="S9">
        <f t="shared" si="1"/>
        <v>0</v>
      </c>
    </row>
    <row r="10" spans="2:19" x14ac:dyDescent="0.3">
      <c r="C10" s="15" t="str">
        <f t="shared" si="2"/>
        <v>00000000</v>
      </c>
      <c r="D10" s="15" t="str">
        <f t="shared" si="3"/>
        <v>00000000</v>
      </c>
      <c r="E10" s="15" t="str">
        <f t="shared" si="4"/>
        <v>00000000</v>
      </c>
      <c r="F10" s="15" t="str">
        <f t="shared" si="5"/>
        <v>00000000</v>
      </c>
      <c r="G10" s="15" t="s">
        <v>45</v>
      </c>
      <c r="H10" s="15" t="s">
        <v>45</v>
      </c>
      <c r="I10" s="15" t="str">
        <f>DEC2BIN(R10,8)</f>
        <v>00000001</v>
      </c>
      <c r="J10" s="15" t="str">
        <f>DEC2BIN(S10,8)</f>
        <v>10110000</v>
      </c>
      <c r="K10" s="10">
        <v>56</v>
      </c>
      <c r="L10" s="4">
        <f t="shared" si="10"/>
        <v>0</v>
      </c>
      <c r="M10" s="4">
        <f t="shared" si="10"/>
        <v>0</v>
      </c>
      <c r="N10" s="4">
        <f t="shared" si="1"/>
        <v>0</v>
      </c>
      <c r="O10" s="4">
        <f t="shared" si="1"/>
        <v>0</v>
      </c>
      <c r="P10" s="4">
        <v>0</v>
      </c>
      <c r="Q10" s="4">
        <v>0</v>
      </c>
      <c r="R10" s="4">
        <f>HEX2DEC(MID(N1,1,2))</f>
        <v>1</v>
      </c>
      <c r="S10" s="4">
        <f>HEX2DEC(MID(N1,3,2))</f>
        <v>176</v>
      </c>
    </row>
    <row r="14" spans="2:19" x14ac:dyDescent="0.3">
      <c r="C14" t="s">
        <v>46</v>
      </c>
    </row>
    <row r="15" spans="2:19" x14ac:dyDescent="0.3">
      <c r="C15" s="1" t="s">
        <v>47</v>
      </c>
      <c r="D15" s="12" t="s">
        <v>125</v>
      </c>
      <c r="E15" s="1" t="s">
        <v>48</v>
      </c>
      <c r="F15" s="1" t="s">
        <v>49</v>
      </c>
      <c r="G15" s="1" t="s">
        <v>50</v>
      </c>
      <c r="H15" s="1" t="s">
        <v>51</v>
      </c>
      <c r="I15" s="1" t="s">
        <v>52</v>
      </c>
      <c r="J15" s="1" t="s">
        <v>53</v>
      </c>
    </row>
    <row r="16" spans="2:19" x14ac:dyDescent="0.3">
      <c r="C16" s="1" t="s">
        <v>54</v>
      </c>
      <c r="D16" s="1" t="s">
        <v>55</v>
      </c>
      <c r="E16" s="1" t="s">
        <v>56</v>
      </c>
      <c r="F16" s="1" t="s">
        <v>57</v>
      </c>
      <c r="G16" s="1" t="s">
        <v>58</v>
      </c>
      <c r="H16" s="1" t="s">
        <v>59</v>
      </c>
      <c r="I16" s="1" t="s">
        <v>60</v>
      </c>
      <c r="J16" s="1" t="s">
        <v>61</v>
      </c>
    </row>
    <row r="17" spans="3:10" x14ac:dyDescent="0.3">
      <c r="C17" s="1" t="s">
        <v>62</v>
      </c>
      <c r="D17" s="1" t="s">
        <v>63</v>
      </c>
      <c r="E17" s="1" t="s">
        <v>64</v>
      </c>
      <c r="F17" s="1" t="s">
        <v>65</v>
      </c>
      <c r="G17" s="1" t="s">
        <v>66</v>
      </c>
      <c r="H17" s="1" t="s">
        <v>67</v>
      </c>
      <c r="I17" s="1" t="s">
        <v>68</v>
      </c>
      <c r="J17" s="1" t="s">
        <v>69</v>
      </c>
    </row>
    <row r="18" spans="3:10" x14ac:dyDescent="0.3">
      <c r="C18" s="11" t="s">
        <v>70</v>
      </c>
      <c r="D18" s="1" t="s">
        <v>71</v>
      </c>
      <c r="E18" s="1" t="s">
        <v>72</v>
      </c>
      <c r="F18" s="1" t="s">
        <v>73</v>
      </c>
      <c r="G18" s="1" t="s">
        <v>74</v>
      </c>
      <c r="H18" s="1" t="s">
        <v>75</v>
      </c>
      <c r="I18" s="1" t="s">
        <v>76</v>
      </c>
      <c r="J18" s="12" t="s">
        <v>126</v>
      </c>
    </row>
    <row r="19" spans="3:10" x14ac:dyDescent="0.3">
      <c r="C19" s="1" t="s">
        <v>77</v>
      </c>
      <c r="D19" s="1" t="s">
        <v>78</v>
      </c>
      <c r="E19" s="1" t="s">
        <v>79</v>
      </c>
      <c r="F19" s="1" t="s">
        <v>80</v>
      </c>
      <c r="G19" s="1" t="s">
        <v>81</v>
      </c>
      <c r="H19" s="1" t="s">
        <v>82</v>
      </c>
      <c r="I19" s="1" t="s">
        <v>83</v>
      </c>
      <c r="J19" s="1" t="s">
        <v>84</v>
      </c>
    </row>
    <row r="20" spans="3:10" x14ac:dyDescent="0.3">
      <c r="C20" s="1" t="s">
        <v>85</v>
      </c>
      <c r="D20" s="1" t="s">
        <v>86</v>
      </c>
      <c r="E20" s="1" t="s">
        <v>87</v>
      </c>
      <c r="F20" s="1" t="s">
        <v>88</v>
      </c>
      <c r="G20" s="1" t="s">
        <v>89</v>
      </c>
      <c r="H20" s="1" t="s">
        <v>90</v>
      </c>
      <c r="I20" s="1" t="s">
        <v>91</v>
      </c>
      <c r="J20" s="1" t="s">
        <v>92</v>
      </c>
    </row>
    <row r="21" spans="3:10" x14ac:dyDescent="0.3">
      <c r="C21" s="1" t="s">
        <v>93</v>
      </c>
      <c r="D21" s="11" t="s">
        <v>94</v>
      </c>
      <c r="E21" s="1" t="s">
        <v>95</v>
      </c>
      <c r="F21" s="1" t="s">
        <v>96</v>
      </c>
      <c r="G21" s="1" t="s">
        <v>97</v>
      </c>
      <c r="H21" s="1" t="s">
        <v>98</v>
      </c>
      <c r="I21" s="1" t="s">
        <v>99</v>
      </c>
      <c r="J21" s="1" t="s">
        <v>100</v>
      </c>
    </row>
    <row r="22" spans="3:10" x14ac:dyDescent="0.3">
      <c r="C22" s="1" t="s">
        <v>101</v>
      </c>
      <c r="D22" s="1" t="s">
        <v>102</v>
      </c>
      <c r="E22" s="1" t="s">
        <v>103</v>
      </c>
      <c r="F22" s="1" t="s">
        <v>104</v>
      </c>
      <c r="G22" s="1" t="s">
        <v>105</v>
      </c>
      <c r="H22" s="1" t="s">
        <v>106</v>
      </c>
      <c r="I22" s="1" t="s">
        <v>107</v>
      </c>
      <c r="J22" s="1" t="s">
        <v>108</v>
      </c>
    </row>
    <row r="25" spans="3:10" x14ac:dyDescent="0.3">
      <c r="C25" t="s">
        <v>117</v>
      </c>
      <c r="D25" s="1" t="s">
        <v>109</v>
      </c>
      <c r="E25" s="1" t="s">
        <v>127</v>
      </c>
    </row>
    <row r="26" spans="3:10" x14ac:dyDescent="0.3">
      <c r="C26" t="s">
        <v>118</v>
      </c>
      <c r="D26" s="1" t="s">
        <v>110</v>
      </c>
      <c r="E26" s="1" t="s">
        <v>128</v>
      </c>
    </row>
    <row r="27" spans="3:10" x14ac:dyDescent="0.3">
      <c r="C27" t="s">
        <v>119</v>
      </c>
      <c r="D27" s="1" t="s">
        <v>111</v>
      </c>
    </row>
    <row r="28" spans="3:10" x14ac:dyDescent="0.3">
      <c r="C28" t="s">
        <v>120</v>
      </c>
      <c r="D28" s="1" t="s">
        <v>112</v>
      </c>
    </row>
    <row r="29" spans="3:10" x14ac:dyDescent="0.3">
      <c r="C29" t="s">
        <v>121</v>
      </c>
      <c r="D29" s="11" t="s">
        <v>113</v>
      </c>
    </row>
    <row r="30" spans="3:10" x14ac:dyDescent="0.3">
      <c r="C30" t="s">
        <v>122</v>
      </c>
      <c r="D30" s="1" t="s">
        <v>114</v>
      </c>
    </row>
    <row r="31" spans="3:10" x14ac:dyDescent="0.3">
      <c r="C31" t="s">
        <v>123</v>
      </c>
      <c r="D31" s="1" t="s">
        <v>115</v>
      </c>
    </row>
    <row r="32" spans="3:10" x14ac:dyDescent="0.3">
      <c r="C32" t="s">
        <v>124</v>
      </c>
      <c r="D32" s="1" t="s">
        <v>116</v>
      </c>
    </row>
    <row r="34" spans="2:18" x14ac:dyDescent="0.3">
      <c r="C34" s="23">
        <v>0</v>
      </c>
      <c r="D34" s="23">
        <v>1</v>
      </c>
      <c r="E34" s="23">
        <v>2</v>
      </c>
      <c r="F34" s="23">
        <v>3</v>
      </c>
      <c r="G34" s="23">
        <v>4</v>
      </c>
      <c r="H34" s="23">
        <v>5</v>
      </c>
      <c r="I34" s="23">
        <v>6</v>
      </c>
      <c r="J34" s="23">
        <v>7</v>
      </c>
      <c r="K34" s="23">
        <v>8</v>
      </c>
      <c r="L34" s="23">
        <v>9</v>
      </c>
      <c r="M34" s="23">
        <v>10</v>
      </c>
      <c r="N34" s="23">
        <v>11</v>
      </c>
      <c r="O34" s="23">
        <v>12</v>
      </c>
      <c r="P34" s="23">
        <v>13</v>
      </c>
      <c r="Q34" s="23">
        <v>14</v>
      </c>
      <c r="R34" s="23">
        <v>15</v>
      </c>
    </row>
    <row r="35" spans="2:18" x14ac:dyDescent="0.3">
      <c r="B35" s="7" t="s">
        <v>129</v>
      </c>
      <c r="C35" s="14" t="str">
        <f>DEC2HEX(L3,2)&amp;DEC2HEX(M3,2)&amp;DEC2HEX(N3,2)&amp;DEC2HEX(O3,2)</f>
        <v>73696C76</v>
      </c>
      <c r="D35" s="14" t="str">
        <f>DEC2HEX(P3,2)&amp;DEC2HEX(Q3,2)&amp;DEC2HEX(R3,2)&amp;DEC2HEX(S3,2)</f>
        <v>616A6B6A</v>
      </c>
      <c r="E35" s="14" t="str">
        <f>DEC2HEX(L4,2)&amp;DEC2HEX(M4,2)&amp;DEC2HEX(N4,2)&amp;DEC2HEX(O4,2)</f>
        <v>6F69756B</v>
      </c>
      <c r="F35" s="14" t="str">
        <f>DEC2HEX(P4,2)&amp;DEC2HEX(Q4,2)&amp;DEC2HEX(R4,2)&amp;DEC2HEX(S4,2)</f>
        <v>75206B6A</v>
      </c>
      <c r="G35" s="14" t="str">
        <f>DEC2HEX(L5,2)&amp;DEC2HEX(M5,2)&amp;DEC2HEX(N5,2)&amp;DEC2HEX(O5,2)</f>
        <v>686B6A68</v>
      </c>
      <c r="H35" s="14" t="str">
        <f>DEC2HEX(P5,2)&amp;DEC2HEX(Q5,2)&amp;DEC2HEX(R5,2)&amp;DEC2HEX(S5,2)</f>
        <v>6B206C6B</v>
      </c>
      <c r="I35" s="14" t="str">
        <f>DEC2HEX(L6,2)&amp;DEC2HEX(M6,2)&amp;DEC2HEX(N6,2)&amp;DEC2HEX(O6,2)</f>
        <v>6A686B6A</v>
      </c>
      <c r="J35" s="14" t="str">
        <f>DEC2HEX(P6,2)&amp;DEC2HEX(Q6,2)&amp;DEC2HEX(R6,2)&amp;DEC2HEX(S6,2)</f>
        <v>686B6820</v>
      </c>
      <c r="K35" s="14" t="str">
        <f>DEC2HEX(L7,2)&amp;DEC2HEX(M7,2)&amp;DEC2HEX(N7,2)&amp;DEC2HEX(O7,2)</f>
        <v>79747279</v>
      </c>
      <c r="L35" s="14" t="str">
        <f>DEC2HEX(P7,2)&amp;DEC2HEX(Q7,2)&amp;DEC2HEX(R7,2)&amp;DEC2HEX(S7,2)</f>
        <v>75756769</v>
      </c>
      <c r="M35" s="14" t="str">
        <f>DEC2HEX(L8,2)&amp;DEC2HEX(M8,2)&amp;DEC2HEX(N8,2)&amp;DEC2HEX(O8,2)</f>
        <v>75796775</v>
      </c>
      <c r="N35" s="14" t="str">
        <f>DEC2HEX(P8,2)&amp;DEC2HEX(Q8,2)&amp;DEC2HEX(R8,2)&amp;DEC2HEX(S8,2)</f>
        <v>206B6A6B</v>
      </c>
      <c r="O35" s="14" t="str">
        <f>DEC2HEX(L9,2)&amp;DEC2HEX(M9,2)&amp;DEC2HEX(N9,2)&amp;DEC2HEX(O9,2)</f>
        <v>20686868</v>
      </c>
      <c r="P35" s="14" t="str">
        <f>DEC2HEX(P9,2)&amp;DEC2HEX(Q9,2)&amp;DEC2HEX(R9,2)&amp;DEC2HEX(S9,2)</f>
        <v>68688000</v>
      </c>
      <c r="Q35" s="14" t="str">
        <f>DEC2HEX(L10,2)&amp;DEC2HEX(M10,2)&amp;DEC2HEX(N10,2)&amp;DEC2HEX(O10,2)</f>
        <v>00000000</v>
      </c>
      <c r="R35" s="14" t="str">
        <f>DEC2HEX(P10,2)&amp;DEC2HEX(Q10,2)&amp;DEC2HEX(R10,2)&amp;DEC2HEX(S10,2)</f>
        <v>000001B0</v>
      </c>
    </row>
    <row r="36" spans="2:18" x14ac:dyDescent="0.3"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</row>
    <row r="37" spans="2:18" x14ac:dyDescent="0.3">
      <c r="C37" s="23">
        <v>0</v>
      </c>
      <c r="D37" s="23">
        <v>1</v>
      </c>
      <c r="E37" s="23">
        <v>2</v>
      </c>
      <c r="F37" s="23">
        <v>3</v>
      </c>
      <c r="G37" s="23">
        <v>4</v>
      </c>
      <c r="H37" s="23">
        <v>5</v>
      </c>
      <c r="I37" s="23">
        <v>6</v>
      </c>
      <c r="J37" s="23">
        <v>7</v>
      </c>
      <c r="K37" s="23">
        <v>8</v>
      </c>
      <c r="L37" s="23">
        <v>9</v>
      </c>
      <c r="M37" s="23">
        <v>10</v>
      </c>
      <c r="N37" s="23">
        <v>11</v>
      </c>
      <c r="O37" s="23">
        <v>12</v>
      </c>
      <c r="P37" s="23">
        <v>13</v>
      </c>
      <c r="Q37" s="23">
        <v>14</v>
      </c>
      <c r="R37" s="23">
        <v>15</v>
      </c>
    </row>
    <row r="38" spans="2:18" x14ac:dyDescent="0.3">
      <c r="B38" s="7" t="s">
        <v>130</v>
      </c>
      <c r="C38" s="14" t="str">
        <f>C35</f>
        <v>73696C76</v>
      </c>
      <c r="D38" s="14" t="str">
        <f t="shared" ref="D38:L38" si="11">D35</f>
        <v>616A6B6A</v>
      </c>
      <c r="E38" s="14" t="str">
        <f t="shared" si="11"/>
        <v>6F69756B</v>
      </c>
      <c r="F38" s="14" t="str">
        <f t="shared" si="11"/>
        <v>75206B6A</v>
      </c>
      <c r="G38" s="14" t="str">
        <f t="shared" si="11"/>
        <v>686B6A68</v>
      </c>
      <c r="H38" s="14" t="str">
        <f t="shared" si="11"/>
        <v>6B206C6B</v>
      </c>
      <c r="I38" s="14" t="str">
        <f t="shared" si="11"/>
        <v>6A686B6A</v>
      </c>
      <c r="J38" s="14" t="str">
        <f t="shared" si="11"/>
        <v>686B6820</v>
      </c>
      <c r="K38" s="14" t="str">
        <f t="shared" si="11"/>
        <v>79747279</v>
      </c>
      <c r="L38" s="14" t="str">
        <f t="shared" si="11"/>
        <v>75756769</v>
      </c>
      <c r="M38" s="14" t="str">
        <f t="shared" ref="M38:R38" si="12">M35</f>
        <v>75796775</v>
      </c>
      <c r="N38" s="14" t="str">
        <f t="shared" si="12"/>
        <v>206B6A6B</v>
      </c>
      <c r="O38" s="14" t="str">
        <f t="shared" si="12"/>
        <v>20686868</v>
      </c>
      <c r="P38" s="14" t="str">
        <f>P35</f>
        <v>68688000</v>
      </c>
      <c r="Q38" s="14" t="str">
        <f>Q35</f>
        <v>00000000</v>
      </c>
      <c r="R38" s="14" t="str">
        <f t="shared" si="12"/>
        <v>000001B0</v>
      </c>
    </row>
    <row r="39" spans="2:18" x14ac:dyDescent="0.3">
      <c r="C39" s="24">
        <f>+C37+16</f>
        <v>16</v>
      </c>
      <c r="D39" s="24">
        <f>+D37+16</f>
        <v>17</v>
      </c>
      <c r="E39" s="24">
        <f>+E37+16</f>
        <v>18</v>
      </c>
      <c r="F39" s="24">
        <f>+F37+16</f>
        <v>19</v>
      </c>
      <c r="G39" s="24">
        <f>+G37+16</f>
        <v>20</v>
      </c>
      <c r="H39" s="24">
        <f>+H37+16</f>
        <v>21</v>
      </c>
      <c r="I39" s="24">
        <f>+I37+16</f>
        <v>22</v>
      </c>
      <c r="J39" s="24">
        <f>+J37+16</f>
        <v>23</v>
      </c>
      <c r="K39" s="24">
        <f>+K37+16</f>
        <v>24</v>
      </c>
      <c r="L39" s="24">
        <f>+L37+16</f>
        <v>25</v>
      </c>
      <c r="M39" s="24">
        <f>+M37+16</f>
        <v>26</v>
      </c>
      <c r="N39" s="24">
        <f>+N37+16</f>
        <v>27</v>
      </c>
      <c r="O39" s="24">
        <f>+O37+16</f>
        <v>28</v>
      </c>
      <c r="P39" s="24">
        <f>+P37+16</f>
        <v>29</v>
      </c>
      <c r="Q39" s="24">
        <f>+Q37+16</f>
        <v>30</v>
      </c>
      <c r="R39" s="24">
        <f>+R37+16</f>
        <v>31</v>
      </c>
    </row>
    <row r="40" spans="2:18" x14ac:dyDescent="0.3">
      <c r="C40" s="13" t="str">
        <f>B71</f>
        <v>2F63EC61</v>
      </c>
      <c r="D40" s="13" t="str">
        <f>B85</f>
        <v>A992665F</v>
      </c>
      <c r="E40" s="13" t="str">
        <f>B99</f>
        <v>FBD355C5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3">
      <c r="C41" s="24">
        <f>+C39+16</f>
        <v>32</v>
      </c>
      <c r="D41" s="24">
        <f t="shared" ref="D41:R43" si="13">+D39+16</f>
        <v>33</v>
      </c>
      <c r="E41" s="24">
        <f t="shared" si="13"/>
        <v>34</v>
      </c>
      <c r="F41" s="24">
        <f t="shared" si="13"/>
        <v>35</v>
      </c>
      <c r="G41" s="24">
        <f t="shared" si="13"/>
        <v>36</v>
      </c>
      <c r="H41" s="24">
        <f t="shared" si="13"/>
        <v>37</v>
      </c>
      <c r="I41" s="24">
        <f t="shared" si="13"/>
        <v>38</v>
      </c>
      <c r="J41" s="24">
        <f t="shared" si="13"/>
        <v>39</v>
      </c>
      <c r="K41" s="24">
        <f t="shared" si="13"/>
        <v>40</v>
      </c>
      <c r="L41" s="24">
        <f t="shared" si="13"/>
        <v>41</v>
      </c>
      <c r="M41" s="24">
        <f t="shared" si="13"/>
        <v>42</v>
      </c>
      <c r="N41" s="24">
        <f t="shared" si="13"/>
        <v>43</v>
      </c>
      <c r="O41" s="24">
        <f t="shared" si="13"/>
        <v>44</v>
      </c>
      <c r="P41" s="24">
        <f t="shared" si="13"/>
        <v>45</v>
      </c>
      <c r="Q41" s="24">
        <f t="shared" si="13"/>
        <v>46</v>
      </c>
      <c r="R41" s="24">
        <f t="shared" si="13"/>
        <v>47</v>
      </c>
    </row>
    <row r="42" spans="2:18" x14ac:dyDescent="0.3"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3">
      <c r="C43" s="24">
        <f>+C41+16</f>
        <v>48</v>
      </c>
      <c r="D43" s="24">
        <f t="shared" si="13"/>
        <v>49</v>
      </c>
      <c r="E43" s="24">
        <f t="shared" si="13"/>
        <v>50</v>
      </c>
      <c r="F43" s="24">
        <f t="shared" si="13"/>
        <v>51</v>
      </c>
      <c r="G43" s="24">
        <f t="shared" si="13"/>
        <v>52</v>
      </c>
      <c r="H43" s="24">
        <f t="shared" si="13"/>
        <v>53</v>
      </c>
      <c r="I43" s="24">
        <f t="shared" si="13"/>
        <v>54</v>
      </c>
      <c r="J43" s="24">
        <f t="shared" si="13"/>
        <v>55</v>
      </c>
      <c r="K43" s="24">
        <f t="shared" si="13"/>
        <v>56</v>
      </c>
      <c r="L43" s="24">
        <f t="shared" si="13"/>
        <v>57</v>
      </c>
      <c r="M43" s="24">
        <f t="shared" si="13"/>
        <v>58</v>
      </c>
      <c r="N43" s="24">
        <f t="shared" si="13"/>
        <v>59</v>
      </c>
      <c r="O43" s="24">
        <f t="shared" si="13"/>
        <v>60</v>
      </c>
      <c r="P43" s="24">
        <f t="shared" si="13"/>
        <v>61</v>
      </c>
      <c r="Q43" s="24">
        <f t="shared" si="13"/>
        <v>62</v>
      </c>
      <c r="R43" s="24">
        <f t="shared" si="13"/>
        <v>63</v>
      </c>
    </row>
    <row r="46" spans="2:18" x14ac:dyDescent="0.3">
      <c r="H46" s="16"/>
    </row>
    <row r="49" spans="1:2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3">
      <c r="A50" s="1"/>
      <c r="B50" s="8" t="s">
        <v>131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8" t="s">
        <v>208</v>
      </c>
      <c r="O50" s="1"/>
      <c r="P50" s="1"/>
      <c r="Q50" s="1"/>
      <c r="R50" s="1"/>
      <c r="S50" s="1"/>
      <c r="T50" s="1"/>
    </row>
    <row r="51" spans="1:2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3">
      <c r="A53" s="18" t="s">
        <v>203</v>
      </c>
      <c r="B53" s="18" t="s">
        <v>201</v>
      </c>
      <c r="C53" s="1"/>
      <c r="D53" s="1"/>
      <c r="E53" s="1"/>
      <c r="F53" s="1"/>
      <c r="G53" s="19" t="s">
        <v>184</v>
      </c>
      <c r="H53" s="18" t="s">
        <v>202</v>
      </c>
      <c r="I53" s="1"/>
      <c r="J53" s="1"/>
      <c r="K53" s="1"/>
      <c r="L53" s="1"/>
      <c r="M53" s="19" t="s">
        <v>184</v>
      </c>
      <c r="N53" s="8" t="s">
        <v>192</v>
      </c>
      <c r="O53" s="1"/>
      <c r="P53" s="1"/>
      <c r="Q53" s="1"/>
      <c r="R53" s="1"/>
      <c r="S53" s="1"/>
      <c r="T53" s="1"/>
    </row>
    <row r="54" spans="1:2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3">
      <c r="A55" s="1" t="s">
        <v>135</v>
      </c>
      <c r="B55" s="1"/>
      <c r="C55" s="1" t="s">
        <v>134</v>
      </c>
      <c r="D55" s="1" t="s">
        <v>133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3">
      <c r="A57" s="18" t="s">
        <v>136</v>
      </c>
      <c r="B57" s="1" t="s">
        <v>190</v>
      </c>
      <c r="C57" s="1" t="str">
        <f>HEX2BIN(LEFT(Q35,2),8)&amp;HEX2BIN(MID(Q35,3,2),8)&amp;HEX2BIN(MID(Q35,5,2),8)&amp;HEX2BIN(RIGHT(Q35,2),8)</f>
        <v>00000000000000000000000000000000</v>
      </c>
      <c r="D57" s="1"/>
      <c r="E57" s="1"/>
      <c r="F57" s="1"/>
      <c r="G57" s="12"/>
      <c r="H57" s="1" t="s">
        <v>185</v>
      </c>
      <c r="I57" s="1" t="str">
        <f>HEX2BIN(LEFT(L35,2),8)&amp;HEX2BIN(MID(L35,3,2),8)&amp;HEX2BIN(MID(L35,5,2),8)&amp;HEX2BIN(RIGHT(L35,2),8)</f>
        <v>01110101011101010110011101101001</v>
      </c>
      <c r="J57" s="1"/>
      <c r="K57" s="1"/>
      <c r="L57" s="1"/>
      <c r="M57" s="1"/>
      <c r="N57" s="1" t="s">
        <v>193</v>
      </c>
      <c r="O57" s="1" t="str">
        <f>HEX2BIN(LEFT(D35,2),8)&amp;HEX2BIN(MID(D35,3,2),8)&amp;HEX2BIN(MID(D35,5,2),8)&amp;HEX2BIN(RIGHT(D35,2),8)</f>
        <v>01100001011010100110101101101010</v>
      </c>
      <c r="P57" s="1"/>
      <c r="Q57" s="1"/>
      <c r="R57" s="1"/>
      <c r="S57" s="1"/>
      <c r="T57" s="1"/>
    </row>
    <row r="58" spans="1:20" x14ac:dyDescent="0.3">
      <c r="A58" s="1"/>
      <c r="B58" s="1"/>
      <c r="C58" s="1"/>
      <c r="D58" s="1"/>
      <c r="E58" s="1"/>
      <c r="F58" s="1"/>
      <c r="G58" s="1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3">
      <c r="A59" s="1"/>
      <c r="B59" s="1"/>
      <c r="C59" s="1"/>
      <c r="D59" s="1"/>
      <c r="E59" s="1"/>
      <c r="F59" s="1"/>
      <c r="G59" s="1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3">
      <c r="A60" s="18" t="s">
        <v>205</v>
      </c>
      <c r="B60" s="1"/>
      <c r="C60" s="1" t="str">
        <f>RIGHT(C57,17)&amp;LEFT(C57,15)</f>
        <v>00000000000000000000000000000000</v>
      </c>
      <c r="D60" s="1"/>
      <c r="E60" s="1"/>
      <c r="F60" s="1"/>
      <c r="G60" s="12"/>
      <c r="H60" s="1"/>
      <c r="I60" s="1"/>
      <c r="J60" s="1"/>
      <c r="K60" s="1"/>
      <c r="L60" s="1"/>
      <c r="M60" s="1"/>
      <c r="N60" s="18" t="s">
        <v>209</v>
      </c>
      <c r="O60" s="1"/>
      <c r="P60" s="1" t="str">
        <f>RIGHT(O57,1)&amp;LEFT(O57,31)</f>
        <v>00110000101101010011010110110101</v>
      </c>
      <c r="Q60" s="1"/>
      <c r="R60" s="1"/>
      <c r="S60" s="1"/>
      <c r="T60" s="1"/>
    </row>
    <row r="61" spans="1:20" x14ac:dyDescent="0.3">
      <c r="A61" s="1"/>
      <c r="B61" s="1"/>
      <c r="C61" s="1"/>
      <c r="D61" s="1"/>
      <c r="E61" s="1"/>
      <c r="F61" s="1"/>
      <c r="G61" s="1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3">
      <c r="A62" s="18" t="s">
        <v>206</v>
      </c>
      <c r="B62" s="1"/>
      <c r="C62" s="1" t="str">
        <f>RIGHT(C57,19)&amp;LEFT(C57,13)</f>
        <v>00000000000000000000000000000000</v>
      </c>
      <c r="D62" s="1"/>
      <c r="E62" s="1"/>
      <c r="F62" s="1"/>
      <c r="G62" s="12"/>
      <c r="H62" s="1"/>
      <c r="I62" s="1"/>
      <c r="J62" s="1"/>
      <c r="K62" s="1"/>
      <c r="L62" s="1"/>
      <c r="M62" s="1"/>
      <c r="N62" s="18" t="s">
        <v>210</v>
      </c>
      <c r="O62" s="1"/>
      <c r="P62" s="1" t="str">
        <f>RIGHT(O57,8)&amp;LEFT(O57,24)</f>
        <v>01101010011000010110101001101011</v>
      </c>
      <c r="Q62" s="1"/>
      <c r="R62" s="1"/>
      <c r="S62" s="1"/>
      <c r="T62" s="1"/>
    </row>
    <row r="63" spans="1:20" x14ac:dyDescent="0.3">
      <c r="A63" s="1"/>
      <c r="B63" s="1"/>
      <c r="C63" s="1"/>
      <c r="D63" s="1"/>
      <c r="E63" s="1"/>
      <c r="F63" s="1"/>
      <c r="G63" s="1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3">
      <c r="A64" s="18" t="s">
        <v>207</v>
      </c>
      <c r="B64" s="1"/>
      <c r="C64" s="1" t="str">
        <f>REPT(0,10)&amp;LEFT(C57,22)</f>
        <v>00000000000000000000000000000000</v>
      </c>
      <c r="D64" s="1"/>
      <c r="E64" s="1"/>
      <c r="F64" s="1"/>
      <c r="G64" s="12"/>
      <c r="H64" s="1"/>
      <c r="I64" s="1"/>
      <c r="J64" s="1"/>
      <c r="K64" s="1"/>
      <c r="L64" s="1"/>
      <c r="M64" s="1"/>
      <c r="N64" s="18" t="s">
        <v>211</v>
      </c>
      <c r="O64" s="1"/>
      <c r="P64" s="1" t="str">
        <f>REPT(0,7)&amp;LEFT(O57,25)</f>
        <v>00000000110000101101010011010110</v>
      </c>
      <c r="Q64" s="1"/>
      <c r="R64" s="1"/>
      <c r="S64" s="1"/>
      <c r="T64" s="1"/>
    </row>
    <row r="65" spans="1:20" x14ac:dyDescent="0.3">
      <c r="A65" s="1"/>
      <c r="B65" s="1"/>
      <c r="C65" s="1"/>
      <c r="D65" s="1"/>
      <c r="E65" s="1"/>
      <c r="F65" s="1"/>
      <c r="G65" s="1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3">
      <c r="A66" s="1"/>
      <c r="B66" s="1"/>
      <c r="C66" s="1"/>
      <c r="D66" s="1"/>
      <c r="E66" s="1"/>
      <c r="F66" s="1"/>
      <c r="G66" s="1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3">
      <c r="A67" s="18" t="s">
        <v>204</v>
      </c>
      <c r="B67" s="1"/>
      <c r="C67" s="1" t="str">
        <f>MOD(MID(C60,1,1)+MID(C62,1,1)+MID(C64,1,1),2)&amp;MOD(MID(C60,2,1)+MID(C62,2,1)+MID(C64,2,1),2)&amp;MOD(MID(C60,3,1)+MID(C62,3,1)+MID(C64,3,1),2)&amp;MOD(MID(C60,4,1)+MID(C62,4,1)+MID(C64,4,1),2)&amp;MOD(MID(C60,5,1)+MID(C62,5,1)+MID(C64,5,1),2)&amp;MOD(MID(C60,6,1)+MID(C62,6,1)+MID(C64,6,1),2)&amp;MOD(MID(C60,7,1)+MID(C62,7,1)+MID(C64,7,1),2)&amp;MOD(MID(C60,8,1)+MID(C62,8,1)+MID(C64,8,1),2)&amp;MOD(MID(C60,9,1)+MID(C62,9,1)+MID(C64,9,1),2)&amp;MOD(MID(C60,10,1)+MID(C62,10,1)+MID(C64,10,1),2)&amp;MOD(MID(C60,11,1)+MID(C62,11,1)+MID(C64,11,1),2)&amp;MOD(MID(C60,12,1)+MID(C62,12,1)+MID(C64,12,1),2)&amp;MOD(MID(C60,13,1)+MID(C62,13,1)+MID(C64,13,1),2)&amp;MOD(MID(C60,14,1)+MID(C62,14,1)+MID(C64,14,1),2)&amp;MOD(MID(C60,15,1)+MID(C62,15,1)+MID(C64,15,1),2)&amp;MOD(MID(C60,16,1)+MID(C62,16,1)+MID(C64,16,1),2)&amp;MOD(MID(C60,17,1)+MID(C62,17,1)+MID(C64,17,1),2)&amp;MOD(MID(C60,18,1)+MID(C62,18,1)+MID(C64,18,1),2)&amp;MOD(MID(C60,19,1)+MID(C62,19,1)+MID(C64,19,1),2)&amp;MOD(MID(C60,20,1)+MID(C62,20,1)+MID(C64,20,1),2)&amp;MOD(MID(C60,21,1)+MID(C62,21,1)+MID(C64,21,1),2)&amp;MOD(MID(C60,22,1)+MID(C62,22,1)+MID(C64,22,1),2)&amp;MOD(MID(C60,23,1)+MID(C62,23,1)+MID(C64,23,1),2)&amp;MOD(MID(C60,24,1)+MID(C62,24,1)+MID(C64,24,1),2)&amp;MOD(MID(C60,25,1)+MID(C62,25,1)+MID(C64,25,1),2)&amp;MOD(MID(C60,26,1)+MID(C62,26,1)+MID(C64,26,1),2)&amp;MOD(MID(C60,27,1)+MID(C62,27,1)+MID(C64,27,1),2)&amp;MOD(MID(C60,28,1)+MID(C62,28,1)+MID(C64,28,1),2)&amp;MOD(MID(C60,29,1)+MID(C62,29,1)+MID(C64,29,1),2)&amp;MOD(MID(C60,30,1)+MID(C62,30,1)+MID(C64,30,1),2)&amp;MOD(MID(C60,31,1)+MID(C62,31,1)+MID(C64,31,1),2)&amp;MOD(MID(C60,32,1)+MID(C62,32,1)+MID(C64,32,1),2)</f>
        <v>00000000000000000000000000000000</v>
      </c>
      <c r="D67" s="1"/>
      <c r="E67" s="1"/>
      <c r="F67" s="1"/>
      <c r="G67" s="19" t="s">
        <v>184</v>
      </c>
      <c r="H67" s="18" t="s">
        <v>185</v>
      </c>
      <c r="I67" s="1" t="str">
        <f>I57</f>
        <v>01110101011101010110011101101001</v>
      </c>
      <c r="J67" s="1"/>
      <c r="K67" s="1"/>
      <c r="L67" s="1"/>
      <c r="M67" s="12" t="s">
        <v>184</v>
      </c>
      <c r="N67" s="18" t="s">
        <v>212</v>
      </c>
      <c r="O67" s="1"/>
      <c r="P67" s="1" t="str">
        <f>MOD(MID(P60,1,1)+MID(P62,1,1)+MID(P64,1,1),2)&amp;MOD(MID(P60,2,1)+MID(P62,2,1)+MID(P64,2,1),2)&amp;MOD(MID(P60,3,1)+MID(P62,3,1)+MID(P64,3,1),2)&amp;MOD(MID(P60,4,1)+MID(P62,4,1)+MID(P64,4,1),2)&amp;MOD(MID(P60,5,1)+MID(P62,5,1)+MID(P64,5,1),2)&amp;MOD(MID(P60,6,1)+MID(P62,6,1)+MID(P64,6,1),2)&amp;MOD(MID(P60,7,1)+MID(P62,7,1)+MID(P64,7,1),2)&amp;MOD(MID(P60,8,1)+MID(P62,8,1)+MID(P64,8,1),2)&amp;MOD(MID(P60,9,1)+MID(P62,9,1)+MID(P64,9,1),2)&amp;MOD(MID(P60,10,1)+MID(P62,10,1)+MID(P64,10,1),2)&amp;MOD(MID(P60,11,1)+MID(P62,11,1)+MID(P64,11,1),2)&amp;MOD(MID(P60,12,1)+MID(P62,12,1)+MID(P64,12,1),2)&amp;MOD(MID(P60,13,1)+MID(P62,13,1)+MID(P64,13,1),2)&amp;MOD(MID(P60,14,1)+MID(P62,14,1)+MID(P64,14,1),2)&amp;MOD(MID(P60,15,1)+MID(P62,15,1)+MID(P64,15,1),2)&amp;MOD(MID(P60,16,1)+MID(P62,16,1)+MID(P64,16,1),2)&amp;MOD(MID(P60,17,1)+MID(P62,17,1)+MID(P64,17,1),2)&amp;MOD(MID(P60,18,1)+MID(P62,18,1)+MID(P64,18,1),2)&amp;MOD(MID(P60,19,1)+MID(P62,19,1)+MID(P64,19,1),2)&amp;MOD(MID(P60,20,1)+MID(P62,20,1)+MID(P64,20,1),2)&amp;MOD(MID(P60,21,1)+MID(P62,21,1)+MID(P64,21,1),2)&amp;MOD(MID(P60,22,1)+MID(P62,22,1)+MID(P64,22,1),2)&amp;MOD(MID(P60,23,1)+MID(P62,23,1)+MID(P64,23,1),2)&amp;MOD(MID(P60,24,1)+MID(P62,24,1)+MID(P64,24,1),2)&amp;MOD(MID(P60,25,1)+MID(P62,25,1)+MID(P64,25,1),2)&amp;MOD(MID(P60,26,1)+MID(P62,26,1)+MID(P64,26,1),2)&amp;MOD(MID(P60,27,1)+MID(P62,27,1)+MID(P64,27,1),2)&amp;MOD(MID(P60,28,1)+MID(P62,28,1)+MID(P64,28,1),2)&amp;MOD(MID(P60,29,1)+MID(P62,29,1)+MID(P64,29,1),2)&amp;MOD(MID(P60,30,1)+MID(P62,30,1)+MID(P64,30,1),2)&amp;MOD(MID(P60,31,1)+MID(P62,31,1)+MID(P64,31,1),2)&amp;MOD(MID(P60,32,1)+MID(P62,32,1)+MID(P64,32,1),2)</f>
        <v>01011010000101101000101100001000</v>
      </c>
      <c r="Q67" s="1"/>
      <c r="R67" s="1"/>
      <c r="S67" s="1"/>
      <c r="T67" s="1"/>
    </row>
    <row r="68" spans="1:20" x14ac:dyDescent="0.3">
      <c r="A68" s="1"/>
      <c r="B68" s="1"/>
      <c r="C68" s="1"/>
      <c r="D68" s="1"/>
      <c r="E68" s="1"/>
      <c r="F68" s="1"/>
      <c r="G68" s="1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3">
      <c r="A69" s="1"/>
      <c r="B69" s="1"/>
      <c r="C69" s="1"/>
      <c r="D69" s="1"/>
      <c r="E69" s="1"/>
      <c r="F69" s="1"/>
      <c r="G69" s="1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3">
      <c r="A70" s="18" t="s">
        <v>213</v>
      </c>
      <c r="B70" s="1" t="str">
        <f>MOD(MID(C67,1,1)+MID(I67,1,1)+MID(P67,1,1),2)&amp;MOD(MID(C67,2,1)+MID(I67,2,1)+MID(P67,2,1),2)&amp;MOD(MID(C67,3,1)+MID(I67,3,1)+MID(P67,3,1),2)&amp;MOD(MID(C67,4,1)+MID(I67,4,1)+MID(P67,4,1),2)&amp;MOD(MID(C67,5,1)+MID(I67,5,1)+MID(P67,5,1),2)&amp;MOD(MID(C67,6,1)+MID(I67,6,1)+MID(P67,6,1),2)&amp;MOD(MID(C67,7,1)+MID(I67,7,1)+MID(P67,7,1),2)&amp;MOD(MID(C67,8,1)+MID(I67,8,1)+MID(P67,8,1),2)&amp;MOD(MID(C67,9,1)+MID(I67,9,1)+MID(P67,9,1),2)&amp;MOD(MID(C67,10,1)+MID(I67,10,1)+MID(P67,10,1),2)&amp;MOD(MID(C67,11,1)+MID(I67,11,1)+MID(P67,11,1),2)&amp;MOD(MID(C67,12,1)+MID(I67,12,1)+MID(P67,12,1),2)&amp;MOD(MID(C67,13,1)+MID(I67,13,1)+MID(P67,13,1),2)&amp;MOD(MID(C67,14,1)+MID(I67,14,1)+MID(P67,14,1),2)&amp;MOD(MID(C67,15,1)+MID(I67,15,1)+MID(P67,15,1),2)&amp;MOD(MID(C67,16,1)+MID(I67,16,1)+MID(P67,16,1),2)&amp;MOD(MID(C67,17,1)+MID(I67,17,1)+MID(P67,17,1),2)&amp;MOD(MID(C67,18,1)+MID(I67,18,1)+MID(P67,18,1),2)&amp;MOD(MID(C67,19,1)+MID(I67,19,1)+MID(P67,19,1),2)&amp;MOD(MID(C67,20,1)+MID(I67,20,1)+MID(P67,20,1),2)&amp;MOD(MID(C67,21,1)+MID(I67,21,1)+MID(P67,21,1),2)&amp;MOD(MID(C67,22,1)+MID(I67,22,1)+MID(P67,22,1),2)&amp;MOD(MID(C67,23,1)+MID(I67,23,1)+MID(P67,23,1),2)&amp;MOD(MID(C67,24,1)+MID(I67,24,1)+MID(P67,24,1),2)&amp;MOD(MID(C67,25,1)+MID(I67,25,1)+MID(P67,25,1),2)&amp;MOD(MID(C67,26,1)+MID(I67,26,1)+MID(P67,26,1),2)&amp;MOD(MID(C67,27,1)+MID(I67,27,1)+MID(P67,27,1),2)&amp;MOD(MID(C67,28,1)+MID(I67,28,1)+MID(P67,28,1),2)&amp;MOD(MID(C67,29,1)+MID(I67,29,1)+MID(P67,29,1),2)&amp;MOD(MID(C67,30,1)+MID(I67,30,1)+MID(P67,30,1),2)&amp;MOD(MID(C67,31,1)+MID(I67,31,1)+MID(P67,31,1),2)&amp;MOD(MID(C67,32,1)+MID(I67,32,1)+MID(P67,32,1),2)</f>
        <v>00101111011000111110110001100001</v>
      </c>
      <c r="C70" s="1"/>
      <c r="D70" s="1"/>
      <c r="E70" s="1"/>
      <c r="F70" s="1"/>
      <c r="G70" s="1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3">
      <c r="A71" s="18" t="s">
        <v>214</v>
      </c>
      <c r="B71" s="1" t="str">
        <f>BIN2HEX(LEFT(B70,8),2)&amp;BIN2HEX(MID(B70,9,8),2)&amp;BIN2HEX(MID(B70,17,8),2)&amp;BIN2HEX(RIGHT(B70,8),2)</f>
        <v>2F63EC61</v>
      </c>
      <c r="C71" s="1"/>
      <c r="D71" s="1"/>
      <c r="E71" s="1"/>
      <c r="F71" s="1"/>
      <c r="G71" s="1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s="2" customFormat="1" x14ac:dyDescent="0.3">
      <c r="A72" s="20"/>
      <c r="B72" s="21"/>
      <c r="C72" s="21"/>
      <c r="D72" s="21"/>
      <c r="E72" s="21"/>
      <c r="F72" s="21"/>
      <c r="G72" s="22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</row>
    <row r="73" spans="1:20" x14ac:dyDescent="0.3">
      <c r="A73" s="18" t="s">
        <v>137</v>
      </c>
      <c r="B73" s="1" t="s">
        <v>191</v>
      </c>
      <c r="C73" s="1" t="str">
        <f>HEX2BIN(LEFT(R38,2),8)&amp;HEX2BIN(MID(R38,3,2),8)&amp;HEX2BIN(MID(R38,5,2),8)&amp;HEX2BIN(RIGHT(R38,2),8)</f>
        <v>00000000000000000000000110110000</v>
      </c>
      <c r="D73" s="1"/>
      <c r="E73" s="1"/>
      <c r="F73" s="1"/>
      <c r="G73" s="1"/>
      <c r="H73" s="1" t="s">
        <v>186</v>
      </c>
      <c r="I73" s="1" t="str">
        <f>HEX2BIN(LEFT(M38,2),8)&amp;HEX2BIN(MID(M38,3,2),8)&amp;HEX2BIN(MID(M38,5,2),8)&amp;HEX2BIN(RIGHT(M38,2),8)</f>
        <v>01110101011110010110011101110101</v>
      </c>
      <c r="J73" s="1"/>
      <c r="K73" s="1"/>
      <c r="L73" s="1"/>
      <c r="N73" s="1" t="s">
        <v>194</v>
      </c>
      <c r="O73" s="1" t="str">
        <f>HEX2BIN(LEFT(E35,2),8)&amp;HEX2BIN(MID(E35,3,2),8)&amp;HEX2BIN(MID(E35,5,2),8)&amp;HEX2BIN(RIGHT(E35,2),8)</f>
        <v>01101111011010010111010101101011</v>
      </c>
      <c r="P73" s="1"/>
      <c r="Q73" s="1"/>
      <c r="R73" s="1"/>
      <c r="S73" s="1"/>
      <c r="T73" s="1"/>
    </row>
    <row r="74" spans="1:2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3">
      <c r="A75" s="18" t="s">
        <v>205</v>
      </c>
      <c r="B75" s="1"/>
      <c r="C75" s="1" t="str">
        <f>RIGHT(C73,17)&amp;LEFT(C73,15)</f>
        <v>00000000110110000000000000000000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8" t="s">
        <v>209</v>
      </c>
      <c r="O75" s="1"/>
      <c r="P75" s="1" t="str">
        <f>RIGHT(O73,1)&amp;LEFT(O73,31)</f>
        <v>10110111101101001011101010110101</v>
      </c>
      <c r="Q75" s="1"/>
      <c r="R75" s="1"/>
      <c r="S75" s="1"/>
      <c r="T75" s="1"/>
    </row>
    <row r="76" spans="1:2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3">
      <c r="A77" s="18" t="s">
        <v>206</v>
      </c>
      <c r="B77" s="1"/>
      <c r="C77" s="1" t="str">
        <f>RIGHT(C73,19)&amp;LEFT(C73,13)</f>
        <v>00000000001101100000000000000000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8" t="s">
        <v>210</v>
      </c>
      <c r="O77" s="1"/>
      <c r="P77" s="1" t="str">
        <f>RIGHT(O73,8)&amp;LEFT(O73,24)</f>
        <v>01101011011011110110100101110101</v>
      </c>
      <c r="Q77" s="1"/>
      <c r="R77" s="1"/>
      <c r="S77" s="1"/>
      <c r="T77" s="1"/>
    </row>
    <row r="78" spans="1:2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3">
      <c r="A79" s="18" t="s">
        <v>207</v>
      </c>
      <c r="B79" s="1"/>
      <c r="C79" s="1" t="str">
        <f>REPT(0,10)&amp;LEFT(C73,22)</f>
        <v>00000000000000000000000000000000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8" t="s">
        <v>211</v>
      </c>
      <c r="O79" s="1"/>
      <c r="P79" s="1" t="str">
        <f>REPT(0,7)&amp;LEFT(O73,25)</f>
        <v>00000000110111101101001011101010</v>
      </c>
      <c r="Q79" s="1"/>
      <c r="R79" s="1"/>
      <c r="S79" s="1"/>
      <c r="T79" s="1"/>
    </row>
    <row r="80" spans="1:2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3">
      <c r="A81" s="18" t="s">
        <v>215</v>
      </c>
      <c r="B81" s="1"/>
      <c r="C81" s="1" t="str">
        <f>MOD(MID(C75,1,1)+MID(C77,1,1)+MID(C79,1,1),2)&amp;MOD(MID(C75,2,1)+MID(C77,2,1)+MID(C79,2,1),2)&amp;MOD(MID(C75,3,1)+MID(C77,3,1)+MID(C79,3,1),2)&amp;MOD(MID(C75,4,1)+MID(C77,4,1)+MID(C79,4,1),2)&amp;MOD(MID(C75,5,1)+MID(C77,5,1)+MID(C79,5,1),2)&amp;MOD(MID(C75,6,1)+MID(C77,6,1)+MID(C79,6,1),2)&amp;MOD(MID(C75,7,1)+MID(C77,7,1)+MID(C79,7,1),2)&amp;MOD(MID(C75,8,1)+MID(C77,8,1)+MID(C79,8,1),2)&amp;MOD(MID(C75,9,1)+MID(C77,9,1)+MID(C79,9,1),2)&amp;MOD(MID(C75,10,1)+MID(C77,10,1)+MID(C79,10,1),2)&amp;MOD(MID(C75,11,1)+MID(C77,11,1)+MID(C79,11,1),2)&amp;MOD(MID(C75,12,1)+MID(C77,12,1)+MID(C79,12,1),2)&amp;MOD(MID(C75,13,1)+MID(C77,13,1)+MID(C79,13,1),2)&amp;MOD(MID(C75,14,1)+MID(C77,14,1)+MID(C79,14,1),2)&amp;MOD(MID(C75,15,1)+MID(C77,15,1)+MID(C79,15,1),2)&amp;MOD(MID(C75,16,1)+MID(C77,16,1)+MID(C79,16,1),2)&amp;MOD(MID(C75,17,1)+MID(C77,17,1)+MID(C79,17,1),2)&amp;MOD(MID(C75,18,1)+MID(C77,18,1)+MID(C79,18,1),2)&amp;MOD(MID(C75,19,1)+MID(C77,19,1)+MID(C79,19,1),2)&amp;MOD(MID(C75,20,1)+MID(C77,20,1)+MID(C79,20,1),2)&amp;MOD(MID(C75,21,1)+MID(C77,21,1)+MID(C79,21,1),2)&amp;MOD(MID(C75,22,1)+MID(C77,22,1)+MID(C79,22,1),2)&amp;MOD(MID(C75,23,1)+MID(C77,23,1)+MID(C79,23,1),2)&amp;MOD(MID(C75,24,1)+MID(C77,24,1)+MID(C79,24,1),2)&amp;MOD(MID(C75,25,1)+MID(C77,25,1)+MID(C79,25,1),2)&amp;MOD(MID(C75,26,1)+MID(C77,26,1)+MID(C79,26,1),2)&amp;MOD(MID(C75,27,1)+MID(C77,27,1)+MID(C79,27,1),2)&amp;MOD(MID(C75,28,1)+MID(C77,28,1)+MID(C79,28,1),2)&amp;MOD(MID(C75,29,1)+MID(C77,29,1)+MID(C79,29,1),2)&amp;MOD(MID(C75,30,1)+MID(C77,30,1)+MID(C79,30,1),2)&amp;MOD(MID(C75,31,1)+MID(C77,31,1)+MID(C79,31,1),2)&amp;MOD(MID(C75,32,1)+MID(C77,32,1)+MID(C79,32,1),2)</f>
        <v>00000000111011100000000000000000</v>
      </c>
      <c r="D81" s="1"/>
      <c r="E81" s="1"/>
      <c r="F81" s="1"/>
      <c r="G81" s="19" t="s">
        <v>184</v>
      </c>
      <c r="H81" s="18" t="s">
        <v>186</v>
      </c>
      <c r="I81" s="1" t="str">
        <f>I73</f>
        <v>01110101011110010110011101110101</v>
      </c>
      <c r="J81" s="1"/>
      <c r="K81" s="1"/>
      <c r="L81" s="1"/>
      <c r="M81" s="12" t="s">
        <v>184</v>
      </c>
      <c r="N81" s="18" t="s">
        <v>218</v>
      </c>
      <c r="O81" s="1"/>
      <c r="P81" s="1" t="str">
        <f>MOD(MID(P75,1,1)+MID(P77,1,1)+MID(P79,1,1),2)&amp;MOD(MID(P75,2,1)+MID(P77,2,1)+MID(P79,2,1),2)&amp;MOD(MID(P75,3,1)+MID(P77,3,1)+MID(P79,3,1),2)&amp;MOD(MID(P75,4,1)+MID(P77,4,1)+MID(P79,4,1),2)&amp;MOD(MID(P75,5,1)+MID(P77,5,1)+MID(P79,5,1),2)&amp;MOD(MID(P75,6,1)+MID(P77,6,1)+MID(P79,6,1),2)&amp;MOD(MID(P75,7,1)+MID(P77,7,1)+MID(P79,7,1),2)&amp;MOD(MID(P75,8,1)+MID(P77,8,1)+MID(P79,8,1),2)&amp;MOD(MID(P75,9,1)+MID(P77,9,1)+MID(P79,9,1),2)&amp;MOD(MID(P75,10,1)+MID(P77,10,1)+MID(P79,10,1),2)&amp;MOD(MID(P75,11,1)+MID(P77,11,1)+MID(P79,11,1),2)&amp;MOD(MID(P75,12,1)+MID(P77,12,1)+MID(P79,12,1),2)&amp;MOD(MID(P75,13,1)+MID(P77,13,1)+MID(P79,13,1),2)&amp;MOD(MID(P75,14,1)+MID(P77,14,1)+MID(P79,14,1),2)&amp;MOD(MID(P75,15,1)+MID(P77,15,1)+MID(P79,15,1),2)&amp;MOD(MID(P75,16,1)+MID(P77,16,1)+MID(P79,16,1),2)&amp;MOD(MID(P75,17,1)+MID(P77,17,1)+MID(P79,17,1),2)&amp;MOD(MID(P75,18,1)+MID(P77,18,1)+MID(P79,18,1),2)&amp;MOD(MID(P75,19,1)+MID(P77,19,1)+MID(P79,19,1),2)&amp;MOD(MID(P75,20,1)+MID(P77,20,1)+MID(P79,20,1),2)&amp;MOD(MID(P75,21,1)+MID(P77,21,1)+MID(P79,21,1),2)&amp;MOD(MID(P75,22,1)+MID(P77,22,1)+MID(P79,22,1),2)&amp;MOD(MID(P75,23,1)+MID(P77,23,1)+MID(P79,23,1),2)&amp;MOD(MID(P75,24,1)+MID(P77,24,1)+MID(P79,24,1),2)&amp;MOD(MID(P75,25,1)+MID(P77,25,1)+MID(P79,25,1),2)&amp;MOD(MID(P75,26,1)+MID(P77,26,1)+MID(P79,26,1),2)&amp;MOD(MID(P75,27,1)+MID(P77,27,1)+MID(P79,27,1),2)&amp;MOD(MID(P75,28,1)+MID(P77,28,1)+MID(P79,28,1),2)&amp;MOD(MID(P75,29,1)+MID(P77,29,1)+MID(P79,29,1),2)&amp;MOD(MID(P75,30,1)+MID(P77,30,1)+MID(P79,30,1),2)&amp;MOD(MID(P75,31,1)+MID(P77,31,1)+MID(P79,31,1),2)&amp;MOD(MID(P75,32,1)+MID(P77,32,1)+MID(P79,32,1),2)</f>
        <v>11011100000001010000000100101010</v>
      </c>
      <c r="Q81" s="1"/>
      <c r="R81" s="1"/>
      <c r="S81" s="1"/>
      <c r="T81" s="1"/>
    </row>
    <row r="82" spans="1:2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3">
      <c r="A84" s="18" t="s">
        <v>216</v>
      </c>
      <c r="B84" s="1" t="str">
        <f>MOD(MID(C81,1,1)+MID(I81,1,1)+MID(P81,1,1),2)&amp;MOD(MID(C81,2,1)+MID(I81,2,1)+MID(P81,2,1),2)&amp;MOD(MID(C81,3,1)+MID(I81,3,1)+MID(P81,3,1),2)&amp;MOD(MID(C81,4,1)+MID(I81,4,1)+MID(P81,4,1),2)&amp;MOD(MID(C81,5,1)+MID(I81,5,1)+MID(P81,5,1),2)&amp;MOD(MID(C81,6,1)+MID(I81,6,1)+MID(P81,6,1),2)&amp;MOD(MID(C81,7,1)+MID(I81,7,1)+MID(P81,7,1),2)&amp;MOD(MID(C81,8,1)+MID(I81,8,1)+MID(P81,8,1),2)&amp;MOD(MID(C81,9,1)+MID(I81,9,1)+MID(P81,9,1),2)&amp;MOD(MID(C81,10,1)+MID(I81,10,1)+MID(P81,10,1),2)&amp;MOD(MID(C81,11,1)+MID(I81,11,1)+MID(P81,11,1),2)&amp;MOD(MID(C81,12,1)+MID(I81,12,1)+MID(P81,12,1),2)&amp;MOD(MID(C81,13,1)+MID(I81,13,1)+MID(P81,13,1),2)&amp;MOD(MID(C81,14,1)+MID(I81,14,1)+MID(P81,14,1),2)&amp;MOD(MID(C81,15,1)+MID(I81,15,1)+MID(P81,15,1),2)&amp;MOD(MID(C81,16,1)+MID(I81,16,1)+MID(P81,16,1),2)&amp;MOD(MID(C81,17,1)+MID(I81,17,1)+MID(P81,17,1),2)&amp;MOD(MID(C81,18,1)+MID(I81,18,1)+MID(P81,18,1),2)&amp;MOD(MID(C81,19,1)+MID(I81,19,1)+MID(P81,19,1),2)&amp;MOD(MID(C81,20,1)+MID(I81,20,1)+MID(P81,20,1),2)&amp;MOD(MID(C81,21,1)+MID(I81,21,1)+MID(P81,21,1),2)&amp;MOD(MID(C81,22,1)+MID(I81,22,1)+MID(P81,22,1),2)&amp;MOD(MID(C81,23,1)+MID(I81,23,1)+MID(P81,23,1),2)&amp;MOD(MID(C81,24,1)+MID(I81,24,1)+MID(P81,24,1),2)&amp;MOD(MID(C81,25,1)+MID(I81,25,1)+MID(P81,25,1),2)&amp;MOD(MID(C81,26,1)+MID(I81,26,1)+MID(P81,26,1),2)&amp;MOD(MID(C81,27,1)+MID(I81,27,1)+MID(P81,27,1),2)&amp;MOD(MID(C81,28,1)+MID(I81,28,1)+MID(P81,28,1),2)&amp;MOD(MID(C81,29,1)+MID(I81,29,1)+MID(P81,29,1),2)&amp;MOD(MID(C81,30,1)+MID(I81,30,1)+MID(P81,30,1),2)&amp;MOD(MID(C81,31,1)+MID(I81,31,1)+MID(P81,31,1),2)&amp;MOD(MID(C81,32,1)+MID(I81,32,1)+MID(P81,32,1),2)</f>
        <v>10101001100100100110011001011111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3">
      <c r="A85" s="18" t="s">
        <v>214</v>
      </c>
      <c r="B85" s="1" t="str">
        <f>BIN2HEX(LEFT(B84,8),2)&amp;BIN2HEX(MID(B84,9,8),2)&amp;BIN2HEX(MID(B84,17,8),2)&amp;BIN2HEX(RIGHT(B84,8),2)</f>
        <v>A992665F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s="2" customFormat="1" x14ac:dyDescent="0.3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1:20" x14ac:dyDescent="0.3">
      <c r="A87" s="18" t="s">
        <v>138</v>
      </c>
      <c r="B87" s="1" t="s">
        <v>136</v>
      </c>
      <c r="C87" s="1" t="str">
        <f>HEX2BIN(LEFT(C40,2),8)&amp;HEX2BIN(MID(C40,3,2),8)&amp;HEX2BIN(MID(C40,5,2),8)&amp;HEX2BIN(RIGHT(C40,2),8)</f>
        <v>00101111011000111110110001100001</v>
      </c>
      <c r="D87" s="1"/>
      <c r="E87" s="1"/>
      <c r="F87" s="1"/>
      <c r="G87" s="1"/>
      <c r="H87" s="1" t="s">
        <v>187</v>
      </c>
      <c r="I87" s="1" t="str">
        <f>HEX2BIN(LEFT(N35,2),8)&amp;HEX2BIN(MID(N35,3,2),8)&amp;HEX2BIN(MID(N35,5,2),8)&amp;HEX2BIN(RIGHT(N35,2),8)</f>
        <v>00100000011010110110101001101011</v>
      </c>
      <c r="J87" s="1"/>
      <c r="K87" s="1"/>
      <c r="L87" s="1"/>
      <c r="N87" s="1" t="s">
        <v>195</v>
      </c>
      <c r="O87" s="1" t="str">
        <f>HEX2BIN(LEFT(F35,2),8)&amp;HEX2BIN(MID(F35,3,2),8)&amp;HEX2BIN(MID(F35,5,2),8)&amp;HEX2BIN(RIGHT(F35,2),8)</f>
        <v>01110101001000000110101101101010</v>
      </c>
      <c r="P87" s="1"/>
      <c r="Q87" s="1"/>
      <c r="R87" s="1"/>
      <c r="S87" s="1"/>
      <c r="T87" s="1"/>
    </row>
    <row r="88" spans="1:2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3">
      <c r="A89" s="18" t="s">
        <v>205</v>
      </c>
      <c r="B89" s="1"/>
      <c r="C89" s="1" t="str">
        <f>RIGHT(C87,17)&amp;LEFT(C87,15)</f>
        <v>11110110001100001001011110110001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8" t="s">
        <v>209</v>
      </c>
      <c r="O89" s="1"/>
      <c r="P89" s="1" t="str">
        <f>RIGHT(O87,1)&amp;LEFT(O87,31)</f>
        <v>00111010100100000011010110110101</v>
      </c>
      <c r="Q89" s="1"/>
      <c r="R89" s="1"/>
      <c r="S89" s="1"/>
      <c r="T89" s="1"/>
    </row>
    <row r="90" spans="1:2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3">
      <c r="A91" s="18" t="s">
        <v>206</v>
      </c>
      <c r="B91" s="1"/>
      <c r="C91" s="1" t="str">
        <f>RIGHT(C87,19)&amp;LEFT(C87,13)</f>
        <v>01111101100011000010010111101100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8" t="s">
        <v>210</v>
      </c>
      <c r="O91" s="1"/>
      <c r="P91" s="1" t="str">
        <f>RIGHT(O87,8)&amp;LEFT(O87,24)</f>
        <v>01101010011101010010000001101011</v>
      </c>
      <c r="Q91" s="1"/>
      <c r="R91" s="1"/>
      <c r="S91" s="1"/>
      <c r="T91" s="1"/>
    </row>
    <row r="92" spans="1:2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3">
      <c r="A93" s="18" t="s">
        <v>207</v>
      </c>
      <c r="B93" s="1"/>
      <c r="C93" s="1" t="str">
        <f>REPT(0,10)&amp;LEFT(C87,22)</f>
        <v>00000000000010111101100011111011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8" t="s">
        <v>211</v>
      </c>
      <c r="O93" s="1"/>
      <c r="P93" s="1" t="str">
        <f>REPT(0,7)&amp;LEFT(O87,25)</f>
        <v>00000000111010100100000011010110</v>
      </c>
      <c r="Q93" s="1"/>
      <c r="R93" s="1"/>
      <c r="S93" s="1"/>
      <c r="T93" s="1"/>
    </row>
    <row r="94" spans="1:2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3">
      <c r="A95" s="18" t="s">
        <v>217</v>
      </c>
      <c r="B95" s="1"/>
      <c r="C95" s="1" t="str">
        <f>MOD(MID(C89,1,1)+MID(C91,1,1)+MID(C93,1,1),2)&amp;MOD(MID(C89,2,1)+MID(C91,2,1)+MID(C93,2,1),2)&amp;MOD(MID(C89,3,1)+MID(C91,3,1)+MID(C93,3,1),2)&amp;MOD(MID(C89,4,1)+MID(C91,4,1)+MID(C93,4,1),2)&amp;MOD(MID(C89,5,1)+MID(C91,5,1)+MID(C93,5,1),2)&amp;MOD(MID(C89,6,1)+MID(C91,6,1)+MID(C93,6,1),2)&amp;MOD(MID(C89,7,1)+MID(C91,7,1)+MID(C93,7,1),2)&amp;MOD(MID(C89,8,1)+MID(C91,8,1)+MID(C93,8,1),2)&amp;MOD(MID(C89,9,1)+MID(C91,9,1)+MID(C93,9,1),2)&amp;MOD(MID(C89,10,1)+MID(C91,10,1)+MID(C93,10,1),2)&amp;MOD(MID(C89,11,1)+MID(C91,11,1)+MID(C93,11,1),2)&amp;MOD(MID(C89,12,1)+MID(C91,12,1)+MID(C93,12,1),2)&amp;MOD(MID(C89,13,1)+MID(C91,13,1)+MID(C93,13,1),2)&amp;MOD(MID(C89,14,1)+MID(C91,14,1)+MID(C93,14,1),2)&amp;MOD(MID(C89,15,1)+MID(C91,15,1)+MID(C93,15,1),2)&amp;MOD(MID(C89,16,1)+MID(C91,16,1)+MID(C93,16,1),2)&amp;MOD(MID(C89,17,1)+MID(C91,17,1)+MID(C93,17,1),2)&amp;MOD(MID(C89,18,1)+MID(C91,18,1)+MID(C93,18,1),2)&amp;MOD(MID(C89,19,1)+MID(C91,19,1)+MID(C93,19,1),2)&amp;MOD(MID(C89,20,1)+MID(C91,20,1)+MID(C93,20,1),2)&amp;MOD(MID(C89,21,1)+MID(C91,21,1)+MID(C93,21,1),2)&amp;MOD(MID(C89,22,1)+MID(C91,22,1)+MID(C93,22,1),2)&amp;MOD(MID(C89,23,1)+MID(C91,23,1)+MID(C93,23,1),2)&amp;MOD(MID(C89,24,1)+MID(C91,24,1)+MID(C93,24,1),2)&amp;MOD(MID(C89,25,1)+MID(C91,25,1)+MID(C93,25,1),2)&amp;MOD(MID(C89,26,1)+MID(C91,26,1)+MID(C93,26,1),2)&amp;MOD(MID(C89,27,1)+MID(C91,27,1)+MID(C93,27,1),2)&amp;MOD(MID(C89,28,1)+MID(C91,28,1)+MID(C93,28,1),2)&amp;MOD(MID(C89,29,1)+MID(C91,29,1)+MID(C93,29,1),2)&amp;MOD(MID(C89,30,1)+MID(C91,30,1)+MID(C93,30,1),2)&amp;MOD(MID(C89,31,1)+MID(C91,31,1)+MID(C93,31,1),2)&amp;MOD(MID(C89,32,1)+MID(C91,32,1)+MID(C93,32,1),2)</f>
        <v>10001011101101110110101010100110</v>
      </c>
      <c r="D95" s="1"/>
      <c r="E95" s="1"/>
      <c r="F95" s="1"/>
      <c r="G95" s="19" t="s">
        <v>184</v>
      </c>
      <c r="H95" s="18" t="s">
        <v>186</v>
      </c>
      <c r="I95" s="1" t="str">
        <f>I87</f>
        <v>00100000011010110110101001101011</v>
      </c>
      <c r="J95" s="1"/>
      <c r="K95" s="1"/>
      <c r="L95" s="1"/>
      <c r="M95" s="12" t="s">
        <v>184</v>
      </c>
      <c r="N95" s="18" t="s">
        <v>219</v>
      </c>
      <c r="O95" s="1"/>
      <c r="P95" s="1" t="str">
        <f>MOD(MID(P89,1,1)+MID(P91,1,1)+MID(P93,1,1),2)&amp;MOD(MID(P89,2,1)+MID(P91,2,1)+MID(P93,2,1),2)&amp;MOD(MID(P89,3,1)+MID(P91,3,1)+MID(P93,3,1),2)&amp;MOD(MID(P89,4,1)+MID(P91,4,1)+MID(P93,4,1),2)&amp;MOD(MID(P89,5,1)+MID(P91,5,1)+MID(P93,5,1),2)&amp;MOD(MID(P89,6,1)+MID(P91,6,1)+MID(P93,6,1),2)&amp;MOD(MID(P89,7,1)+MID(P91,7,1)+MID(P93,7,1),2)&amp;MOD(MID(P89,8,1)+MID(P91,8,1)+MID(P93,8,1),2)&amp;MOD(MID(P89,9,1)+MID(P91,9,1)+MID(P93,9,1),2)&amp;MOD(MID(P89,10,1)+MID(P91,10,1)+MID(P93,10,1),2)&amp;MOD(MID(P89,11,1)+MID(P91,11,1)+MID(P93,11,1),2)&amp;MOD(MID(P89,12,1)+MID(P91,12,1)+MID(P93,12,1),2)&amp;MOD(MID(P89,13,1)+MID(P91,13,1)+MID(P93,13,1),2)&amp;MOD(MID(P89,14,1)+MID(P91,14,1)+MID(P93,14,1),2)&amp;MOD(MID(P89,15,1)+MID(P91,15,1)+MID(P93,15,1),2)&amp;MOD(MID(P89,16,1)+MID(P91,16,1)+MID(P93,16,1),2)&amp;MOD(MID(P89,17,1)+MID(P91,17,1)+MID(P93,17,1),2)&amp;MOD(MID(P89,18,1)+MID(P91,18,1)+MID(P93,18,1),2)&amp;MOD(MID(P89,19,1)+MID(P91,19,1)+MID(P93,19,1),2)&amp;MOD(MID(P89,20,1)+MID(P91,20,1)+MID(P93,20,1),2)&amp;MOD(MID(P89,21,1)+MID(P91,21,1)+MID(P93,21,1),2)&amp;MOD(MID(P89,22,1)+MID(P91,22,1)+MID(P93,22,1),2)&amp;MOD(MID(P89,23,1)+MID(P91,23,1)+MID(P93,23,1),2)&amp;MOD(MID(P89,24,1)+MID(P91,24,1)+MID(P93,24,1),2)&amp;MOD(MID(P89,25,1)+MID(P91,25,1)+MID(P93,25,1),2)&amp;MOD(MID(P89,26,1)+MID(P91,26,1)+MID(P93,26,1),2)&amp;MOD(MID(P89,27,1)+MID(P91,27,1)+MID(P93,27,1),2)&amp;MOD(MID(P89,28,1)+MID(P91,28,1)+MID(P93,28,1),2)&amp;MOD(MID(P89,29,1)+MID(P91,29,1)+MID(P93,29,1),2)&amp;MOD(MID(P89,30,1)+MID(P91,30,1)+MID(P93,30,1),2)&amp;MOD(MID(P89,31,1)+MID(P91,31,1)+MID(P93,31,1),2)&amp;MOD(MID(P89,32,1)+MID(P91,32,1)+MID(P93,32,1),2)</f>
        <v>01010000000011110101010100001000</v>
      </c>
      <c r="Q95" s="1"/>
      <c r="R95" s="1"/>
      <c r="S95" s="1"/>
      <c r="T95" s="1"/>
    </row>
    <row r="96" spans="1:2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3">
      <c r="A98" s="18" t="s">
        <v>216</v>
      </c>
      <c r="B98" s="1" t="str">
        <f>MOD(MID(C95,1,1)+MID(I95,1,1)+MID(P95,1,1),2)&amp;MOD(MID(C95,2,1)+MID(I95,2,1)+MID(P95,2,1),2)&amp;MOD(MID(C95,3,1)+MID(I95,3,1)+MID(P95,3,1),2)&amp;MOD(MID(C95,4,1)+MID(I95,4,1)+MID(P95,4,1),2)&amp;MOD(MID(C95,5,1)+MID(I95,5,1)+MID(P95,5,1),2)&amp;MOD(MID(C95,6,1)+MID(I95,6,1)+MID(P95,6,1),2)&amp;MOD(MID(C95,7,1)+MID(I95,7,1)+MID(P95,7,1),2)&amp;MOD(MID(C95,8,1)+MID(I95,8,1)+MID(P95,8,1),2)&amp;MOD(MID(C95,9,1)+MID(I95,9,1)+MID(P95,9,1),2)&amp;MOD(MID(C95,10,1)+MID(I95,10,1)+MID(P95,10,1),2)&amp;MOD(MID(C95,11,1)+MID(I95,11,1)+MID(P95,11,1),2)&amp;MOD(MID(C95,12,1)+MID(I95,12,1)+MID(P95,12,1),2)&amp;MOD(MID(C95,13,1)+MID(I95,13,1)+MID(P95,13,1),2)&amp;MOD(MID(C95,14,1)+MID(I95,14,1)+MID(P95,14,1),2)&amp;MOD(MID(C95,15,1)+MID(I95,15,1)+MID(P95,15,1),2)&amp;MOD(MID(C95,16,1)+MID(I95,16,1)+MID(P95,16,1),2)&amp;MOD(MID(C95,17,1)+MID(I95,17,1)+MID(P95,17,1),2)&amp;MOD(MID(C95,18,1)+MID(I95,18,1)+MID(P95,18,1),2)&amp;MOD(MID(C95,19,1)+MID(I95,19,1)+MID(P95,19,1),2)&amp;MOD(MID(C95,20,1)+MID(I95,20,1)+MID(P95,20,1),2)&amp;MOD(MID(C95,21,1)+MID(I95,21,1)+MID(P95,21,1),2)&amp;MOD(MID(C95,22,1)+MID(I95,22,1)+MID(P95,22,1),2)&amp;MOD(MID(C95,23,1)+MID(I95,23,1)+MID(P95,23,1),2)&amp;MOD(MID(C95,24,1)+MID(I95,24,1)+MID(P95,24,1),2)&amp;MOD(MID(C95,25,1)+MID(I95,25,1)+MID(P95,25,1),2)&amp;MOD(MID(C95,26,1)+MID(I95,26,1)+MID(P95,26,1),2)&amp;MOD(MID(C95,27,1)+MID(I95,27,1)+MID(P95,27,1),2)&amp;MOD(MID(C95,28,1)+MID(I95,28,1)+MID(P95,28,1),2)&amp;MOD(MID(C95,29,1)+MID(I95,29,1)+MID(P95,29,1),2)&amp;MOD(MID(C95,30,1)+MID(I95,30,1)+MID(P95,30,1),2)&amp;MOD(MID(C95,31,1)+MID(I95,31,1)+MID(P95,31,1),2)&amp;MOD(MID(C95,32,1)+MID(I95,32,1)+MID(P95,32,1),2)</f>
        <v>11111011110100110101010111000101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3">
      <c r="A99" s="18" t="s">
        <v>214</v>
      </c>
      <c r="B99" s="1" t="str">
        <f>BIN2HEX(LEFT(B98,8),2)&amp;BIN2HEX(MID(B98,9,8),2)&amp;BIN2HEX(MID(B98,17,8),2)&amp;BIN2HEX(RIGHT(B98,8),2)</f>
        <v>FBD355C5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s="2" customFormat="1" x14ac:dyDescent="0.3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</row>
    <row r="101" spans="1:20" x14ac:dyDescent="0.3">
      <c r="A101" s="18" t="s">
        <v>139</v>
      </c>
      <c r="B101" s="1" t="s">
        <v>137</v>
      </c>
      <c r="C101" s="1" t="str">
        <f>HEX2BIN(LEFT(D40,2),8)&amp;HEX2BIN(MID(D40,3,2),8)&amp;HEX2BIN(MID(D40,5,2),8)&amp;HEX2BIN(RIGHT(D40,2),8)</f>
        <v>10101001100100100110011001011111</v>
      </c>
      <c r="D101" s="1"/>
      <c r="E101" s="1"/>
      <c r="F101" s="1"/>
      <c r="G101" s="1"/>
      <c r="H101" s="1" t="s">
        <v>188</v>
      </c>
      <c r="I101" s="1" t="str">
        <f>HEX2BIN(LEFT(O35,2),8)&amp;HEX2BIN(MID(O35,3,2),8)&amp;HEX2BIN(MID(O35,5,2),8)&amp;HEX2BIN(RIGHT(O35,2),8)</f>
        <v>00100000011010000110100001101000</v>
      </c>
      <c r="J101" s="1"/>
      <c r="K101" s="1"/>
      <c r="L101" s="1"/>
      <c r="N101" s="1" t="s">
        <v>196</v>
      </c>
      <c r="O101" s="1" t="str">
        <f>HEX2BIN(LEFT(G35,2),8)&amp;HEX2BIN(MID(G35,3,2),8)&amp;HEX2BIN(MID(G35,5,2),8)&amp;HEX2BIN(RIGHT(G35,2),8)</f>
        <v>01101000011010110110101001101000</v>
      </c>
      <c r="P101" s="1"/>
      <c r="Q101" s="1"/>
      <c r="R101" s="1"/>
      <c r="S101" s="1"/>
      <c r="T101" s="1"/>
    </row>
    <row r="102" spans="1:2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3">
      <c r="A103" s="18" t="s">
        <v>205</v>
      </c>
      <c r="B103" s="1"/>
      <c r="C103" s="1" t="str">
        <f>RIGHT(C101,17)&amp;LEFT(C101,15)</f>
        <v>00110011001011111101010011001001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8" t="s">
        <v>209</v>
      </c>
      <c r="O103" s="1"/>
      <c r="P103" s="1" t="str">
        <f>RIGHT(O101,1)&amp;LEFT(O101,31)</f>
        <v>00110100001101011011010100110100</v>
      </c>
      <c r="Q103" s="1"/>
      <c r="R103" s="1"/>
      <c r="S103" s="1"/>
      <c r="T103" s="1"/>
    </row>
    <row r="104" spans="1:2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3">
      <c r="A105" s="18" t="s">
        <v>206</v>
      </c>
      <c r="B105" s="1"/>
      <c r="C105" s="1" t="str">
        <f>RIGHT(C101,19)&amp;LEFT(C101,13)</f>
        <v>01001100110010111111010100110010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8" t="s">
        <v>210</v>
      </c>
      <c r="O105" s="1"/>
      <c r="P105" s="1" t="str">
        <f>RIGHT(O101,8)&amp;LEFT(O101,24)</f>
        <v>01101000011010000110101101101010</v>
      </c>
      <c r="Q105" s="1"/>
      <c r="R105" s="1"/>
      <c r="S105" s="1"/>
      <c r="T105" s="1"/>
    </row>
    <row r="106" spans="1:2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3">
      <c r="A107" s="18" t="s">
        <v>207</v>
      </c>
      <c r="B107" s="1"/>
      <c r="C107" s="1" t="str">
        <f>REPT(0,10)&amp;LEFT(C101,22)</f>
        <v>00000000001010100110010010011001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8" t="s">
        <v>211</v>
      </c>
      <c r="O107" s="1"/>
      <c r="P107" s="1" t="str">
        <f>REPT(0,7)&amp;LEFT(O101,25)</f>
        <v>00000000110100001101011011010100</v>
      </c>
      <c r="Q107" s="1"/>
      <c r="R107" s="1"/>
      <c r="S107" s="1"/>
      <c r="T107" s="1"/>
    </row>
    <row r="108" spans="1:2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x14ac:dyDescent="0.3">
      <c r="A109" s="18" t="s">
        <v>221</v>
      </c>
      <c r="B109" s="1"/>
      <c r="C109" s="1"/>
      <c r="D109" s="1"/>
      <c r="E109" s="1"/>
      <c r="F109" s="1"/>
      <c r="G109" s="19" t="s">
        <v>184</v>
      </c>
      <c r="H109" s="18" t="s">
        <v>188</v>
      </c>
      <c r="I109" s="1" t="str">
        <f>I101</f>
        <v>00100000011010000110100001101000</v>
      </c>
      <c r="J109" s="1"/>
      <c r="K109" s="1"/>
      <c r="L109" s="1"/>
      <c r="M109" s="12" t="s">
        <v>184</v>
      </c>
      <c r="N109" s="18" t="s">
        <v>220</v>
      </c>
      <c r="O109" s="1"/>
      <c r="P109" s="1"/>
      <c r="Q109" s="1"/>
      <c r="R109" s="1"/>
      <c r="S109" s="1"/>
      <c r="T109" s="1"/>
    </row>
    <row r="110" spans="1:2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3">
      <c r="A112" s="18" t="s">
        <v>216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x14ac:dyDescent="0.3">
      <c r="A113" s="18" t="s">
        <v>214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s="2" customFormat="1" x14ac:dyDescent="0.3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</row>
    <row r="115" spans="1:20" x14ac:dyDescent="0.3">
      <c r="A115" s="1" t="s">
        <v>140</v>
      </c>
      <c r="B115" s="1" t="s">
        <v>138</v>
      </c>
      <c r="C115" s="1"/>
      <c r="D115" s="1"/>
      <c r="E115" s="1"/>
      <c r="F115" s="1"/>
      <c r="G115" s="1"/>
      <c r="H115" s="1" t="s">
        <v>189</v>
      </c>
      <c r="I115" s="1"/>
      <c r="J115" s="1"/>
      <c r="K115" s="1"/>
      <c r="L115" s="1"/>
      <c r="M115" s="1" t="s">
        <v>197</v>
      </c>
      <c r="N115" s="1"/>
      <c r="O115" s="1"/>
      <c r="P115" s="1"/>
      <c r="Q115" s="1"/>
      <c r="R115" s="1"/>
      <c r="S115" s="1"/>
      <c r="T115" s="1"/>
    </row>
    <row r="116" spans="1:20" x14ac:dyDescent="0.3">
      <c r="A116" s="1" t="s">
        <v>141</v>
      </c>
      <c r="B116" s="1" t="s">
        <v>139</v>
      </c>
      <c r="C116" s="1"/>
      <c r="D116" s="1"/>
      <c r="E116" s="1"/>
      <c r="F116" s="1"/>
      <c r="G116" s="1"/>
      <c r="H116" s="1" t="s">
        <v>190</v>
      </c>
      <c r="I116" s="1"/>
      <c r="J116" s="1"/>
      <c r="K116" s="1"/>
      <c r="L116" s="1"/>
      <c r="M116" s="1" t="s">
        <v>198</v>
      </c>
      <c r="N116" s="1"/>
      <c r="O116" s="1"/>
      <c r="P116" s="1"/>
      <c r="Q116" s="1"/>
      <c r="R116" s="1"/>
      <c r="S116" s="1"/>
      <c r="T116" s="1"/>
    </row>
    <row r="117" spans="1:20" x14ac:dyDescent="0.3">
      <c r="A117" s="1" t="s">
        <v>142</v>
      </c>
      <c r="B117" s="1" t="s">
        <v>140</v>
      </c>
      <c r="C117" s="1"/>
      <c r="D117" s="1"/>
      <c r="E117" s="1"/>
      <c r="F117" s="1"/>
      <c r="G117" s="1"/>
      <c r="H117" s="1" t="s">
        <v>191</v>
      </c>
      <c r="I117" s="1"/>
      <c r="J117" s="1"/>
      <c r="K117" s="1"/>
      <c r="L117" s="1"/>
      <c r="M117" s="1" t="s">
        <v>199</v>
      </c>
      <c r="N117" s="1"/>
      <c r="O117" s="1"/>
      <c r="P117" s="1"/>
      <c r="Q117" s="1"/>
      <c r="R117" s="1"/>
      <c r="S117" s="1"/>
      <c r="T117" s="1"/>
    </row>
    <row r="118" spans="1:20" x14ac:dyDescent="0.3">
      <c r="A118" s="1" t="s">
        <v>143</v>
      </c>
      <c r="B118" s="1" t="s">
        <v>141</v>
      </c>
      <c r="C118" s="1"/>
      <c r="D118" s="1"/>
      <c r="E118" s="1"/>
      <c r="F118" s="1"/>
      <c r="G118" s="1"/>
      <c r="H118" s="1" t="s">
        <v>136</v>
      </c>
      <c r="I118" s="1"/>
      <c r="J118" s="1"/>
      <c r="K118" s="1"/>
      <c r="L118" s="1"/>
      <c r="M118" s="1" t="s">
        <v>200</v>
      </c>
      <c r="N118" s="1"/>
      <c r="O118" s="1"/>
      <c r="P118" s="1"/>
      <c r="Q118" s="1"/>
      <c r="R118" s="1"/>
      <c r="S118" s="1"/>
      <c r="T118" s="1"/>
    </row>
    <row r="119" spans="1:20" x14ac:dyDescent="0.3">
      <c r="A119" s="1" t="s">
        <v>144</v>
      </c>
      <c r="B119" s="1" t="s">
        <v>142</v>
      </c>
      <c r="C119" s="1"/>
      <c r="D119" s="1"/>
      <c r="E119" s="1"/>
      <c r="F119" s="1"/>
      <c r="G119" s="1"/>
      <c r="H119" s="1" t="s">
        <v>137</v>
      </c>
      <c r="I119" s="1"/>
      <c r="J119" s="1"/>
      <c r="K119" s="1"/>
      <c r="L119" s="1"/>
      <c r="M119" s="1" t="s">
        <v>185</v>
      </c>
      <c r="N119" s="1"/>
      <c r="O119" s="1"/>
      <c r="P119" s="1"/>
      <c r="Q119" s="1"/>
      <c r="R119" s="1"/>
      <c r="S119" s="1"/>
      <c r="T119" s="1"/>
    </row>
    <row r="120" spans="1:20" x14ac:dyDescent="0.3">
      <c r="A120" s="1" t="s">
        <v>145</v>
      </c>
      <c r="B120" s="1" t="s">
        <v>143</v>
      </c>
      <c r="C120" s="1"/>
      <c r="D120" s="1"/>
      <c r="E120" s="1"/>
      <c r="F120" s="1"/>
      <c r="G120" s="1"/>
      <c r="H120" s="1" t="s">
        <v>138</v>
      </c>
      <c r="I120" s="1"/>
      <c r="J120" s="1"/>
      <c r="K120" s="1"/>
      <c r="L120" s="1"/>
      <c r="M120" s="1" t="s">
        <v>186</v>
      </c>
      <c r="N120" s="1"/>
      <c r="O120" s="1"/>
      <c r="P120" s="1"/>
      <c r="Q120" s="1"/>
      <c r="R120" s="1"/>
      <c r="S120" s="1"/>
      <c r="T120" s="1"/>
    </row>
    <row r="121" spans="1:20" x14ac:dyDescent="0.3">
      <c r="A121" s="1" t="s">
        <v>146</v>
      </c>
      <c r="B121" s="1" t="s">
        <v>144</v>
      </c>
      <c r="C121" s="1"/>
      <c r="D121" s="1"/>
      <c r="E121" s="1"/>
      <c r="F121" s="1"/>
      <c r="G121" s="1"/>
      <c r="H121" s="1" t="s">
        <v>139</v>
      </c>
      <c r="I121" s="1"/>
      <c r="J121" s="1"/>
      <c r="K121" s="1"/>
      <c r="L121" s="1"/>
      <c r="M121" s="1" t="s">
        <v>187</v>
      </c>
      <c r="N121" s="1"/>
      <c r="O121" s="1"/>
      <c r="P121" s="1"/>
      <c r="Q121" s="1"/>
      <c r="R121" s="1"/>
      <c r="S121" s="1"/>
      <c r="T121" s="1"/>
    </row>
    <row r="122" spans="1:20" x14ac:dyDescent="0.3">
      <c r="A122" s="1" t="s">
        <v>147</v>
      </c>
      <c r="B122" s="1" t="s">
        <v>145</v>
      </c>
      <c r="C122" s="1"/>
      <c r="D122" s="1"/>
      <c r="E122" s="1"/>
      <c r="F122" s="1"/>
      <c r="G122" s="1"/>
      <c r="H122" s="1" t="s">
        <v>140</v>
      </c>
      <c r="I122" s="1"/>
      <c r="J122" s="1"/>
      <c r="K122" s="1"/>
      <c r="L122" s="1"/>
      <c r="M122" s="1" t="s">
        <v>188</v>
      </c>
      <c r="N122" s="1"/>
      <c r="O122" s="1"/>
      <c r="P122" s="1"/>
      <c r="Q122" s="1"/>
      <c r="R122" s="1"/>
      <c r="S122" s="1"/>
      <c r="T122" s="1"/>
    </row>
    <row r="123" spans="1:20" x14ac:dyDescent="0.3">
      <c r="A123" s="1" t="s">
        <v>148</v>
      </c>
      <c r="B123" s="1" t="s">
        <v>146</v>
      </c>
      <c r="C123" s="1"/>
      <c r="D123" s="1"/>
      <c r="E123" s="1"/>
      <c r="F123" s="1"/>
      <c r="G123" s="1"/>
      <c r="H123" s="1" t="s">
        <v>141</v>
      </c>
      <c r="I123" s="1"/>
      <c r="J123" s="1"/>
      <c r="K123" s="1"/>
      <c r="L123" s="1"/>
      <c r="M123" s="1" t="s">
        <v>189</v>
      </c>
      <c r="N123" s="1"/>
      <c r="O123" s="1"/>
      <c r="P123" s="1"/>
      <c r="Q123" s="1"/>
      <c r="R123" s="1"/>
      <c r="S123" s="1"/>
      <c r="T123" s="1"/>
    </row>
    <row r="124" spans="1:20" x14ac:dyDescent="0.3">
      <c r="A124" s="1" t="s">
        <v>149</v>
      </c>
      <c r="B124" s="1" t="s">
        <v>147</v>
      </c>
      <c r="C124" s="1"/>
      <c r="D124" s="1"/>
      <c r="E124" s="1"/>
      <c r="F124" s="1"/>
      <c r="G124" s="1"/>
      <c r="H124" s="1" t="s">
        <v>142</v>
      </c>
      <c r="I124" s="1"/>
      <c r="J124" s="1"/>
      <c r="K124" s="1"/>
      <c r="L124" s="1"/>
      <c r="M124" s="1" t="s">
        <v>190</v>
      </c>
      <c r="N124" s="1"/>
      <c r="O124" s="1"/>
      <c r="P124" s="1"/>
      <c r="Q124" s="1"/>
      <c r="R124" s="1"/>
      <c r="S124" s="1"/>
      <c r="T124" s="1"/>
    </row>
    <row r="125" spans="1:20" x14ac:dyDescent="0.3">
      <c r="A125" s="1" t="s">
        <v>150</v>
      </c>
      <c r="B125" s="1" t="s">
        <v>148</v>
      </c>
      <c r="C125" s="1"/>
      <c r="D125" s="1"/>
      <c r="E125" s="1"/>
      <c r="F125" s="1"/>
      <c r="G125" s="1"/>
      <c r="H125" s="1" t="s">
        <v>143</v>
      </c>
      <c r="I125" s="1"/>
      <c r="J125" s="1"/>
      <c r="K125" s="1"/>
      <c r="L125" s="1"/>
      <c r="M125" s="1" t="s">
        <v>191</v>
      </c>
      <c r="N125" s="1"/>
      <c r="O125" s="1"/>
      <c r="P125" s="1"/>
      <c r="Q125" s="1"/>
      <c r="R125" s="1"/>
      <c r="S125" s="1"/>
      <c r="T125" s="1"/>
    </row>
    <row r="126" spans="1:20" x14ac:dyDescent="0.3">
      <c r="A126" s="1" t="s">
        <v>151</v>
      </c>
      <c r="B126" s="1" t="s">
        <v>149</v>
      </c>
      <c r="C126" s="1"/>
      <c r="D126" s="1"/>
      <c r="E126" s="1"/>
      <c r="F126" s="1"/>
      <c r="G126" s="1"/>
      <c r="H126" s="1" t="s">
        <v>144</v>
      </c>
      <c r="I126" s="1"/>
      <c r="J126" s="1"/>
      <c r="K126" s="1"/>
      <c r="L126" s="1"/>
      <c r="M126" s="1" t="s">
        <v>136</v>
      </c>
      <c r="N126" s="1"/>
      <c r="O126" s="1"/>
      <c r="P126" s="1"/>
      <c r="Q126" s="1"/>
      <c r="R126" s="1"/>
      <c r="S126" s="1"/>
      <c r="T126" s="1"/>
    </row>
    <row r="127" spans="1:20" x14ac:dyDescent="0.3">
      <c r="A127" s="1" t="s">
        <v>152</v>
      </c>
      <c r="B127" s="1" t="s">
        <v>150</v>
      </c>
      <c r="C127" s="1"/>
      <c r="D127" s="1"/>
      <c r="E127" s="1"/>
      <c r="F127" s="1"/>
      <c r="G127" s="1"/>
      <c r="H127" s="1" t="s">
        <v>145</v>
      </c>
      <c r="I127" s="1"/>
      <c r="J127" s="1"/>
      <c r="K127" s="1"/>
      <c r="L127" s="1"/>
      <c r="M127" s="1" t="s">
        <v>137</v>
      </c>
      <c r="N127" s="1"/>
      <c r="O127" s="1"/>
      <c r="P127" s="1"/>
      <c r="Q127" s="1"/>
      <c r="R127" s="1"/>
      <c r="S127" s="1"/>
      <c r="T127" s="1"/>
    </row>
    <row r="128" spans="1:20" x14ac:dyDescent="0.3">
      <c r="A128" s="1" t="s">
        <v>153</v>
      </c>
      <c r="B128" s="1" t="s">
        <v>151</v>
      </c>
      <c r="C128" s="1"/>
      <c r="D128" s="1"/>
      <c r="E128" s="1"/>
      <c r="F128" s="1"/>
      <c r="G128" s="1"/>
      <c r="H128" s="1" t="s">
        <v>146</v>
      </c>
      <c r="I128" s="1"/>
      <c r="J128" s="1"/>
      <c r="K128" s="1"/>
      <c r="L128" s="1"/>
      <c r="M128" s="1" t="s">
        <v>138</v>
      </c>
      <c r="N128" s="1"/>
      <c r="O128" s="1"/>
      <c r="P128" s="1"/>
      <c r="Q128" s="1"/>
      <c r="R128" s="1"/>
      <c r="S128" s="1"/>
      <c r="T128" s="1"/>
    </row>
    <row r="129" spans="1:20" x14ac:dyDescent="0.3">
      <c r="A129" s="1" t="s">
        <v>154</v>
      </c>
      <c r="B129" s="1" t="s">
        <v>152</v>
      </c>
      <c r="C129" s="1"/>
      <c r="D129" s="1"/>
      <c r="E129" s="1"/>
      <c r="F129" s="1"/>
      <c r="G129" s="1"/>
      <c r="H129" s="1" t="s">
        <v>147</v>
      </c>
      <c r="I129" s="1"/>
      <c r="J129" s="1"/>
      <c r="K129" s="1"/>
      <c r="L129" s="1"/>
      <c r="M129" s="1" t="s">
        <v>139</v>
      </c>
      <c r="N129" s="1"/>
      <c r="O129" s="1"/>
      <c r="P129" s="1"/>
      <c r="Q129" s="1"/>
      <c r="R129" s="1"/>
      <c r="S129" s="1"/>
      <c r="T129" s="1"/>
    </row>
    <row r="130" spans="1:20" x14ac:dyDescent="0.3">
      <c r="A130" s="1" t="s">
        <v>155</v>
      </c>
      <c r="B130" s="1" t="s">
        <v>153</v>
      </c>
      <c r="C130" s="1"/>
      <c r="D130" s="1"/>
      <c r="E130" s="1"/>
      <c r="F130" s="1"/>
      <c r="G130" s="1"/>
      <c r="H130" s="1" t="s">
        <v>148</v>
      </c>
      <c r="I130" s="1"/>
      <c r="J130" s="1"/>
      <c r="K130" s="1"/>
      <c r="L130" s="1"/>
      <c r="M130" s="1" t="s">
        <v>140</v>
      </c>
      <c r="N130" s="1"/>
      <c r="O130" s="1"/>
      <c r="P130" s="1"/>
      <c r="Q130" s="1"/>
      <c r="R130" s="1"/>
      <c r="S130" s="1"/>
      <c r="T130" s="1"/>
    </row>
    <row r="131" spans="1:20" x14ac:dyDescent="0.3">
      <c r="A131" s="1" t="s">
        <v>156</v>
      </c>
      <c r="B131" s="1" t="s">
        <v>154</v>
      </c>
      <c r="C131" s="1"/>
      <c r="D131" s="1"/>
      <c r="E131" s="1"/>
      <c r="F131" s="1"/>
      <c r="G131" s="1"/>
      <c r="H131" s="1" t="s">
        <v>149</v>
      </c>
      <c r="I131" s="1"/>
      <c r="J131" s="1"/>
      <c r="K131" s="1"/>
      <c r="L131" s="1"/>
      <c r="M131" s="1" t="s">
        <v>141</v>
      </c>
      <c r="N131" s="1"/>
      <c r="O131" s="1"/>
      <c r="P131" s="1"/>
      <c r="Q131" s="1"/>
      <c r="R131" s="1"/>
      <c r="S131" s="1"/>
      <c r="T131" s="1"/>
    </row>
    <row r="132" spans="1:20" x14ac:dyDescent="0.3">
      <c r="A132" s="1" t="s">
        <v>157</v>
      </c>
      <c r="B132" s="1" t="s">
        <v>155</v>
      </c>
      <c r="C132" s="1"/>
      <c r="D132" s="1"/>
      <c r="E132" s="1"/>
      <c r="F132" s="1"/>
      <c r="G132" s="1"/>
      <c r="H132" s="1" t="s">
        <v>150</v>
      </c>
      <c r="I132" s="1"/>
      <c r="J132" s="1"/>
      <c r="K132" s="1"/>
      <c r="L132" s="1"/>
      <c r="M132" s="1" t="s">
        <v>142</v>
      </c>
      <c r="N132" s="1"/>
      <c r="O132" s="1"/>
      <c r="P132" s="1"/>
      <c r="Q132" s="1"/>
      <c r="R132" s="1"/>
      <c r="S132" s="1"/>
      <c r="T132" s="1"/>
    </row>
    <row r="133" spans="1:20" x14ac:dyDescent="0.3">
      <c r="A133" s="1" t="s">
        <v>158</v>
      </c>
      <c r="B133" s="1" t="s">
        <v>156</v>
      </c>
      <c r="C133" s="1"/>
      <c r="D133" s="1"/>
      <c r="E133" s="1"/>
      <c r="F133" s="1"/>
      <c r="G133" s="1"/>
      <c r="H133" s="1" t="s">
        <v>151</v>
      </c>
      <c r="I133" s="1"/>
      <c r="J133" s="1"/>
      <c r="K133" s="1"/>
      <c r="L133" s="1"/>
      <c r="M133" s="1" t="s">
        <v>143</v>
      </c>
      <c r="N133" s="1"/>
      <c r="O133" s="1"/>
      <c r="P133" s="1"/>
      <c r="Q133" s="1"/>
      <c r="R133" s="1"/>
      <c r="S133" s="1"/>
      <c r="T133" s="1"/>
    </row>
    <row r="134" spans="1:20" x14ac:dyDescent="0.3">
      <c r="A134" s="1" t="s">
        <v>159</v>
      </c>
      <c r="B134" s="1" t="s">
        <v>157</v>
      </c>
      <c r="C134" s="1"/>
      <c r="D134" s="1"/>
      <c r="E134" s="1"/>
      <c r="F134" s="1"/>
      <c r="G134" s="1"/>
      <c r="H134" s="1" t="s">
        <v>152</v>
      </c>
      <c r="I134" s="1"/>
      <c r="J134" s="1"/>
      <c r="K134" s="1"/>
      <c r="L134" s="1"/>
      <c r="M134" s="1" t="s">
        <v>144</v>
      </c>
      <c r="N134" s="1"/>
      <c r="O134" s="1"/>
      <c r="P134" s="1"/>
      <c r="Q134" s="1"/>
      <c r="R134" s="1"/>
      <c r="S134" s="1"/>
      <c r="T134" s="1"/>
    </row>
    <row r="135" spans="1:20" x14ac:dyDescent="0.3">
      <c r="A135" s="1" t="s">
        <v>160</v>
      </c>
      <c r="B135" s="1" t="s">
        <v>158</v>
      </c>
      <c r="C135" s="1"/>
      <c r="D135" s="1"/>
      <c r="E135" s="1"/>
      <c r="F135" s="1"/>
      <c r="G135" s="1"/>
      <c r="H135" s="1" t="s">
        <v>153</v>
      </c>
      <c r="I135" s="1"/>
      <c r="J135" s="1"/>
      <c r="K135" s="1"/>
      <c r="L135" s="1"/>
      <c r="M135" s="1" t="s">
        <v>145</v>
      </c>
      <c r="N135" s="1"/>
      <c r="O135" s="1"/>
      <c r="P135" s="1"/>
      <c r="Q135" s="1"/>
      <c r="R135" s="1"/>
      <c r="S135" s="1"/>
      <c r="T135" s="1"/>
    </row>
    <row r="136" spans="1:20" x14ac:dyDescent="0.3">
      <c r="A136" s="1" t="s">
        <v>161</v>
      </c>
      <c r="B136" s="1" t="s">
        <v>159</v>
      </c>
      <c r="C136" s="1"/>
      <c r="D136" s="1"/>
      <c r="E136" s="1"/>
      <c r="F136" s="1"/>
      <c r="G136" s="1"/>
      <c r="H136" s="1" t="s">
        <v>154</v>
      </c>
      <c r="I136" s="1"/>
      <c r="J136" s="1"/>
      <c r="K136" s="1"/>
      <c r="L136" s="1"/>
      <c r="M136" s="1" t="s">
        <v>146</v>
      </c>
      <c r="N136" s="1"/>
      <c r="O136" s="1"/>
      <c r="P136" s="1"/>
      <c r="Q136" s="1"/>
      <c r="R136" s="1"/>
      <c r="S136" s="1"/>
      <c r="T136" s="1"/>
    </row>
    <row r="137" spans="1:20" x14ac:dyDescent="0.3">
      <c r="A137" s="1" t="s">
        <v>162</v>
      </c>
      <c r="B137" s="1" t="s">
        <v>160</v>
      </c>
      <c r="C137" s="1"/>
      <c r="D137" s="1"/>
      <c r="E137" s="1"/>
      <c r="F137" s="1"/>
      <c r="G137" s="1"/>
      <c r="H137" s="1" t="s">
        <v>155</v>
      </c>
      <c r="I137" s="1"/>
      <c r="J137" s="1"/>
      <c r="K137" s="1"/>
      <c r="L137" s="1"/>
      <c r="M137" s="1" t="s">
        <v>147</v>
      </c>
      <c r="N137" s="1"/>
      <c r="O137" s="1"/>
      <c r="P137" s="1"/>
      <c r="Q137" s="1"/>
      <c r="R137" s="1"/>
      <c r="S137" s="1"/>
      <c r="T137" s="1"/>
    </row>
    <row r="138" spans="1:20" x14ac:dyDescent="0.3">
      <c r="A138" s="1" t="s">
        <v>163</v>
      </c>
      <c r="B138" s="1" t="s">
        <v>161</v>
      </c>
      <c r="C138" s="1"/>
      <c r="D138" s="1"/>
      <c r="E138" s="1"/>
      <c r="F138" s="1"/>
      <c r="G138" s="1"/>
      <c r="H138" s="1" t="s">
        <v>156</v>
      </c>
      <c r="I138" s="1"/>
      <c r="J138" s="1"/>
      <c r="K138" s="1"/>
      <c r="L138" s="1"/>
      <c r="M138" s="1" t="s">
        <v>148</v>
      </c>
      <c r="N138" s="1"/>
      <c r="O138" s="1"/>
      <c r="P138" s="1"/>
      <c r="Q138" s="1"/>
      <c r="R138" s="1"/>
      <c r="S138" s="1"/>
      <c r="T138" s="1"/>
    </row>
    <row r="139" spans="1:20" x14ac:dyDescent="0.3">
      <c r="A139" s="1" t="s">
        <v>164</v>
      </c>
      <c r="B139" s="1" t="s">
        <v>162</v>
      </c>
      <c r="C139" s="1"/>
      <c r="D139" s="1"/>
      <c r="E139" s="1"/>
      <c r="F139" s="1"/>
      <c r="G139" s="1"/>
      <c r="H139" s="1" t="s">
        <v>157</v>
      </c>
      <c r="I139" s="1"/>
      <c r="J139" s="1"/>
      <c r="K139" s="1"/>
      <c r="L139" s="1"/>
      <c r="M139" s="1" t="s">
        <v>149</v>
      </c>
      <c r="N139" s="1"/>
      <c r="O139" s="1"/>
      <c r="P139" s="1"/>
      <c r="Q139" s="1"/>
      <c r="R139" s="1"/>
      <c r="S139" s="1"/>
      <c r="T139" s="1"/>
    </row>
    <row r="140" spans="1:20" x14ac:dyDescent="0.3">
      <c r="A140" s="1" t="s">
        <v>165</v>
      </c>
      <c r="B140" s="1" t="s">
        <v>163</v>
      </c>
      <c r="C140" s="1"/>
      <c r="D140" s="1"/>
      <c r="E140" s="1"/>
      <c r="F140" s="1"/>
      <c r="G140" s="1"/>
      <c r="H140" s="1" t="s">
        <v>158</v>
      </c>
      <c r="I140" s="1"/>
      <c r="J140" s="1"/>
      <c r="K140" s="1"/>
      <c r="L140" s="1"/>
      <c r="M140" s="1" t="s">
        <v>150</v>
      </c>
      <c r="N140" s="1"/>
      <c r="O140" s="1"/>
      <c r="P140" s="1"/>
      <c r="Q140" s="1"/>
      <c r="R140" s="1"/>
      <c r="S140" s="1"/>
      <c r="T140" s="1"/>
    </row>
    <row r="141" spans="1:20" x14ac:dyDescent="0.3">
      <c r="A141" s="1" t="s">
        <v>166</v>
      </c>
      <c r="B141" s="1" t="s">
        <v>164</v>
      </c>
      <c r="C141" s="1"/>
      <c r="D141" s="1"/>
      <c r="E141" s="1"/>
      <c r="F141" s="1"/>
      <c r="G141" s="1"/>
      <c r="H141" s="1" t="s">
        <v>159</v>
      </c>
      <c r="I141" s="1"/>
      <c r="J141" s="1"/>
      <c r="K141" s="1"/>
      <c r="L141" s="1"/>
      <c r="M141" s="1" t="s">
        <v>151</v>
      </c>
      <c r="N141" s="1"/>
      <c r="O141" s="1"/>
      <c r="P141" s="1"/>
      <c r="Q141" s="1"/>
      <c r="R141" s="1"/>
      <c r="S141" s="1"/>
      <c r="T141" s="1"/>
    </row>
    <row r="142" spans="1:20" x14ac:dyDescent="0.3">
      <c r="A142" s="1" t="s">
        <v>167</v>
      </c>
      <c r="B142" s="1" t="s">
        <v>165</v>
      </c>
      <c r="C142" s="1"/>
      <c r="D142" s="1"/>
      <c r="E142" s="1"/>
      <c r="F142" s="1"/>
      <c r="G142" s="1"/>
      <c r="H142" s="1" t="s">
        <v>160</v>
      </c>
      <c r="I142" s="1"/>
      <c r="J142" s="1"/>
      <c r="K142" s="1"/>
      <c r="L142" s="1"/>
      <c r="M142" s="1" t="s">
        <v>152</v>
      </c>
      <c r="N142" s="1"/>
      <c r="O142" s="1"/>
      <c r="P142" s="1"/>
      <c r="Q142" s="1"/>
      <c r="R142" s="1"/>
      <c r="S142" s="1"/>
      <c r="T142" s="1"/>
    </row>
    <row r="143" spans="1:20" x14ac:dyDescent="0.3">
      <c r="A143" s="1" t="s">
        <v>168</v>
      </c>
      <c r="B143" s="1" t="s">
        <v>166</v>
      </c>
      <c r="C143" s="1"/>
      <c r="D143" s="1"/>
      <c r="E143" s="1"/>
      <c r="F143" s="1"/>
      <c r="G143" s="1"/>
      <c r="H143" s="1" t="s">
        <v>161</v>
      </c>
      <c r="I143" s="1"/>
      <c r="J143" s="1"/>
      <c r="K143" s="1"/>
      <c r="L143" s="1"/>
      <c r="M143" s="1" t="s">
        <v>153</v>
      </c>
      <c r="N143" s="1"/>
      <c r="O143" s="1"/>
      <c r="P143" s="1"/>
      <c r="Q143" s="1"/>
      <c r="R143" s="1"/>
      <c r="S143" s="1"/>
      <c r="T143" s="1"/>
    </row>
    <row r="144" spans="1:20" x14ac:dyDescent="0.3">
      <c r="A144" s="1" t="s">
        <v>169</v>
      </c>
      <c r="B144" s="1" t="s">
        <v>167</v>
      </c>
      <c r="C144" s="1"/>
      <c r="D144" s="1"/>
      <c r="E144" s="1"/>
      <c r="F144" s="1"/>
      <c r="G144" s="1"/>
      <c r="H144" s="1" t="s">
        <v>162</v>
      </c>
      <c r="I144" s="1"/>
      <c r="J144" s="1"/>
      <c r="K144" s="1"/>
      <c r="L144" s="1"/>
      <c r="M144" s="1" t="s">
        <v>154</v>
      </c>
      <c r="N144" s="1"/>
      <c r="O144" s="1"/>
      <c r="P144" s="1"/>
      <c r="Q144" s="1"/>
      <c r="R144" s="1"/>
      <c r="S144" s="1"/>
      <c r="T144" s="1"/>
    </row>
    <row r="145" spans="1:20" x14ac:dyDescent="0.3">
      <c r="A145" s="1" t="s">
        <v>170</v>
      </c>
      <c r="B145" s="1" t="s">
        <v>168</v>
      </c>
      <c r="C145" s="1"/>
      <c r="D145" s="1"/>
      <c r="E145" s="1"/>
      <c r="F145" s="1"/>
      <c r="G145" s="1"/>
      <c r="H145" s="1" t="s">
        <v>163</v>
      </c>
      <c r="I145" s="1"/>
      <c r="J145" s="1"/>
      <c r="K145" s="1"/>
      <c r="L145" s="1"/>
      <c r="M145" s="1" t="s">
        <v>155</v>
      </c>
      <c r="N145" s="1"/>
      <c r="O145" s="1"/>
      <c r="P145" s="1"/>
      <c r="Q145" s="1"/>
      <c r="R145" s="1"/>
      <c r="S145" s="1"/>
      <c r="T145" s="1"/>
    </row>
    <row r="146" spans="1:20" x14ac:dyDescent="0.3">
      <c r="A146" s="1" t="s">
        <v>171</v>
      </c>
      <c r="B146" s="1" t="s">
        <v>169</v>
      </c>
      <c r="C146" s="1"/>
      <c r="D146" s="1"/>
      <c r="E146" s="1"/>
      <c r="F146" s="1"/>
      <c r="G146" s="1"/>
      <c r="H146" s="1" t="s">
        <v>164</v>
      </c>
      <c r="I146" s="1"/>
      <c r="J146" s="1"/>
      <c r="K146" s="1"/>
      <c r="L146" s="1"/>
      <c r="M146" s="1" t="s">
        <v>156</v>
      </c>
      <c r="N146" s="1"/>
      <c r="O146" s="1"/>
      <c r="P146" s="1"/>
      <c r="Q146" s="1"/>
      <c r="R146" s="1"/>
      <c r="S146" s="1"/>
      <c r="T146" s="1"/>
    </row>
    <row r="147" spans="1:20" x14ac:dyDescent="0.3">
      <c r="A147" s="1" t="s">
        <v>172</v>
      </c>
      <c r="B147" s="1" t="s">
        <v>170</v>
      </c>
      <c r="C147" s="1"/>
      <c r="D147" s="1"/>
      <c r="E147" s="1"/>
      <c r="F147" s="1"/>
      <c r="G147" s="1"/>
      <c r="H147" s="1" t="s">
        <v>165</v>
      </c>
      <c r="I147" s="1"/>
      <c r="J147" s="1"/>
      <c r="K147" s="1"/>
      <c r="L147" s="1"/>
      <c r="M147" s="1" t="s">
        <v>157</v>
      </c>
      <c r="N147" s="1"/>
      <c r="O147" s="1"/>
      <c r="P147" s="1"/>
      <c r="Q147" s="1"/>
      <c r="R147" s="1"/>
      <c r="S147" s="1"/>
      <c r="T147" s="1"/>
    </row>
    <row r="148" spans="1:20" x14ac:dyDescent="0.3">
      <c r="A148" s="1" t="s">
        <v>173</v>
      </c>
      <c r="B148" s="1" t="s">
        <v>171</v>
      </c>
      <c r="C148" s="1"/>
      <c r="D148" s="1"/>
      <c r="E148" s="1"/>
      <c r="F148" s="1"/>
      <c r="G148" s="1"/>
      <c r="H148" s="1" t="s">
        <v>166</v>
      </c>
      <c r="I148" s="1"/>
      <c r="J148" s="1"/>
      <c r="K148" s="1"/>
      <c r="L148" s="1"/>
      <c r="M148" s="1" t="s">
        <v>158</v>
      </c>
      <c r="N148" s="1"/>
      <c r="O148" s="1"/>
      <c r="P148" s="1"/>
      <c r="Q148" s="1"/>
      <c r="R148" s="1"/>
      <c r="S148" s="1"/>
      <c r="T148" s="1"/>
    </row>
    <row r="149" spans="1:20" x14ac:dyDescent="0.3">
      <c r="A149" s="1" t="s">
        <v>174</v>
      </c>
      <c r="B149" s="1" t="s">
        <v>172</v>
      </c>
      <c r="C149" s="1"/>
      <c r="D149" s="1"/>
      <c r="E149" s="1"/>
      <c r="F149" s="1"/>
      <c r="G149" s="1"/>
      <c r="H149" s="1" t="s">
        <v>167</v>
      </c>
      <c r="I149" s="1"/>
      <c r="J149" s="1"/>
      <c r="K149" s="1"/>
      <c r="L149" s="1"/>
      <c r="M149" s="1" t="s">
        <v>159</v>
      </c>
      <c r="N149" s="1"/>
      <c r="O149" s="1"/>
      <c r="P149" s="1"/>
      <c r="Q149" s="1"/>
      <c r="R149" s="1"/>
      <c r="S149" s="1"/>
      <c r="T149" s="1"/>
    </row>
    <row r="150" spans="1:20" x14ac:dyDescent="0.3">
      <c r="A150" s="1" t="s">
        <v>175</v>
      </c>
      <c r="B150" s="1" t="s">
        <v>173</v>
      </c>
      <c r="C150" s="1"/>
      <c r="D150" s="1"/>
      <c r="E150" s="1"/>
      <c r="F150" s="1"/>
      <c r="G150" s="1"/>
      <c r="H150" s="1" t="s">
        <v>168</v>
      </c>
      <c r="I150" s="1"/>
      <c r="J150" s="1"/>
      <c r="K150" s="1"/>
      <c r="L150" s="1"/>
      <c r="M150" s="1" t="s">
        <v>160</v>
      </c>
      <c r="N150" s="1"/>
      <c r="O150" s="1"/>
      <c r="P150" s="1"/>
      <c r="Q150" s="1"/>
      <c r="R150" s="1"/>
      <c r="S150" s="1"/>
      <c r="T150" s="1"/>
    </row>
    <row r="151" spans="1:20" x14ac:dyDescent="0.3">
      <c r="A151" s="1" t="s">
        <v>176</v>
      </c>
      <c r="B151" s="1" t="s">
        <v>174</v>
      </c>
      <c r="C151" s="1"/>
      <c r="D151" s="1"/>
      <c r="E151" s="1"/>
      <c r="F151" s="1"/>
      <c r="G151" s="1"/>
      <c r="H151" s="1" t="s">
        <v>169</v>
      </c>
      <c r="I151" s="1"/>
      <c r="J151" s="1"/>
      <c r="K151" s="1"/>
      <c r="L151" s="1"/>
      <c r="M151" s="1" t="s">
        <v>161</v>
      </c>
      <c r="N151" s="1"/>
      <c r="O151" s="1"/>
      <c r="P151" s="1"/>
      <c r="Q151" s="1"/>
      <c r="R151" s="1"/>
      <c r="S151" s="1"/>
      <c r="T151" s="1"/>
    </row>
    <row r="152" spans="1:20" x14ac:dyDescent="0.3">
      <c r="A152" s="1" t="s">
        <v>177</v>
      </c>
      <c r="B152" s="1" t="s">
        <v>175</v>
      </c>
      <c r="C152" s="1"/>
      <c r="D152" s="1"/>
      <c r="E152" s="1"/>
      <c r="F152" s="1"/>
      <c r="G152" s="1"/>
      <c r="H152" s="1" t="s">
        <v>170</v>
      </c>
      <c r="I152" s="1"/>
      <c r="J152" s="1"/>
      <c r="K152" s="1"/>
      <c r="L152" s="1"/>
      <c r="M152" s="1" t="s">
        <v>162</v>
      </c>
      <c r="N152" s="1"/>
      <c r="O152" s="1"/>
      <c r="P152" s="1"/>
      <c r="Q152" s="1"/>
      <c r="R152" s="1"/>
      <c r="S152" s="1"/>
      <c r="T152" s="1"/>
    </row>
    <row r="153" spans="1:20" x14ac:dyDescent="0.3">
      <c r="A153" s="1" t="s">
        <v>178</v>
      </c>
      <c r="B153" s="1" t="s">
        <v>176</v>
      </c>
      <c r="C153" s="1"/>
      <c r="D153" s="1"/>
      <c r="E153" s="1"/>
      <c r="F153" s="1"/>
      <c r="G153" s="1"/>
      <c r="H153" s="1" t="s">
        <v>171</v>
      </c>
      <c r="I153" s="1"/>
      <c r="J153" s="1"/>
      <c r="K153" s="1"/>
      <c r="L153" s="1"/>
      <c r="M153" s="1" t="s">
        <v>163</v>
      </c>
      <c r="N153" s="1"/>
      <c r="O153" s="1"/>
      <c r="P153" s="1"/>
      <c r="Q153" s="1"/>
      <c r="R153" s="1"/>
      <c r="S153" s="1"/>
      <c r="T153" s="1"/>
    </row>
    <row r="154" spans="1:20" x14ac:dyDescent="0.3">
      <c r="A154" s="1" t="s">
        <v>179</v>
      </c>
      <c r="B154" s="1" t="s">
        <v>177</v>
      </c>
      <c r="C154" s="1"/>
      <c r="D154" s="1"/>
      <c r="E154" s="1"/>
      <c r="F154" s="1"/>
      <c r="G154" s="1"/>
      <c r="H154" s="1" t="s">
        <v>172</v>
      </c>
      <c r="I154" s="1"/>
      <c r="J154" s="1"/>
      <c r="K154" s="1"/>
      <c r="L154" s="1"/>
      <c r="M154" s="1" t="s">
        <v>164</v>
      </c>
      <c r="N154" s="1"/>
      <c r="O154" s="1"/>
      <c r="P154" s="1"/>
      <c r="Q154" s="1"/>
      <c r="R154" s="1"/>
      <c r="S154" s="1"/>
      <c r="T154" s="1"/>
    </row>
    <row r="155" spans="1:20" x14ac:dyDescent="0.3">
      <c r="A155" s="1" t="s">
        <v>180</v>
      </c>
      <c r="B155" s="1" t="s">
        <v>178</v>
      </c>
      <c r="C155" s="1"/>
      <c r="D155" s="1"/>
      <c r="E155" s="1"/>
      <c r="F155" s="1"/>
      <c r="G155" s="1"/>
      <c r="H155" s="1" t="s">
        <v>173</v>
      </c>
      <c r="I155" s="1"/>
      <c r="J155" s="1"/>
      <c r="K155" s="1"/>
      <c r="L155" s="1"/>
      <c r="M155" s="1" t="s">
        <v>165</v>
      </c>
      <c r="N155" s="1"/>
      <c r="O155" s="1"/>
      <c r="P155" s="1"/>
      <c r="Q155" s="1"/>
      <c r="R155" s="1"/>
      <c r="S155" s="1"/>
      <c r="T155" s="1"/>
    </row>
    <row r="156" spans="1:20" x14ac:dyDescent="0.3">
      <c r="A156" s="1" t="s">
        <v>181</v>
      </c>
      <c r="B156" s="1" t="s">
        <v>179</v>
      </c>
      <c r="C156" s="1"/>
      <c r="D156" s="1"/>
      <c r="E156" s="1"/>
      <c r="F156" s="1"/>
      <c r="G156" s="1"/>
      <c r="H156" s="1" t="s">
        <v>174</v>
      </c>
      <c r="I156" s="1"/>
      <c r="J156" s="1"/>
      <c r="K156" s="1"/>
      <c r="L156" s="1"/>
      <c r="M156" s="1" t="s">
        <v>166</v>
      </c>
      <c r="N156" s="1"/>
      <c r="O156" s="1"/>
      <c r="P156" s="1"/>
      <c r="Q156" s="1"/>
      <c r="R156" s="1"/>
      <c r="S156" s="1"/>
      <c r="T156" s="1"/>
    </row>
    <row r="157" spans="1:20" x14ac:dyDescent="0.3">
      <c r="A157" s="1" t="s">
        <v>182</v>
      </c>
      <c r="B157" s="1" t="s">
        <v>180</v>
      </c>
      <c r="C157" s="1"/>
      <c r="D157" s="1"/>
      <c r="E157" s="1"/>
      <c r="F157" s="1"/>
      <c r="G157" s="1"/>
      <c r="H157" s="1" t="s">
        <v>175</v>
      </c>
      <c r="I157" s="1"/>
      <c r="J157" s="1"/>
      <c r="K157" s="1"/>
      <c r="L157" s="1"/>
      <c r="M157" s="1" t="s">
        <v>167</v>
      </c>
      <c r="N157" s="1"/>
      <c r="O157" s="1"/>
      <c r="P157" s="1"/>
      <c r="Q157" s="1"/>
      <c r="R157" s="1"/>
      <c r="S157" s="1"/>
      <c r="T157" s="1"/>
    </row>
    <row r="158" spans="1:20" x14ac:dyDescent="0.3">
      <c r="A158" s="1" t="s">
        <v>183</v>
      </c>
      <c r="B158" s="1" t="s">
        <v>181</v>
      </c>
      <c r="C158" s="1"/>
      <c r="D158" s="1"/>
      <c r="E158" s="1"/>
      <c r="F158" s="1"/>
      <c r="G158" s="1"/>
      <c r="H158" s="1" t="s">
        <v>176</v>
      </c>
      <c r="I158" s="1"/>
      <c r="J158" s="1"/>
      <c r="K158" s="1"/>
      <c r="L158" s="1"/>
      <c r="M158" s="1" t="s">
        <v>168</v>
      </c>
      <c r="N158" s="1"/>
      <c r="O158" s="1"/>
      <c r="P158" s="1"/>
      <c r="Q158" s="1"/>
      <c r="R158" s="1"/>
      <c r="S158" s="1"/>
      <c r="T158" s="1"/>
    </row>
    <row r="159" spans="1:20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</sheetData>
  <mergeCells count="1">
    <mergeCell ref="C1:J1"/>
  </mergeCells>
  <phoneticPr fontId="3" type="noConversion"/>
  <pageMargins left="0.7" right="0.7" top="0.75" bottom="0.75" header="0.3" footer="0.3"/>
  <ignoredErrors>
    <ignoredError sqref="G10:H10 J18" numberStoredAsText="1"/>
    <ignoredError sqref="C40:E40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377E4-8FA0-4CC7-AF3D-D3F0DFFA51E9}">
  <dimension ref="A1:U127"/>
  <sheetViews>
    <sheetView topLeftCell="A34" workbookViewId="0">
      <selection activeCell="B41" sqref="B41"/>
    </sheetView>
  </sheetViews>
  <sheetFormatPr defaultRowHeight="14.4" x14ac:dyDescent="0.3"/>
  <cols>
    <col min="1" max="1" width="14.6640625" bestFit="1" customWidth="1"/>
    <col min="2" max="2" width="11.33203125" customWidth="1"/>
    <col min="4" max="4" width="11.77734375" bestFit="1" customWidth="1"/>
    <col min="5" max="5" width="9.88671875" bestFit="1" customWidth="1"/>
    <col min="6" max="6" width="11" bestFit="1" customWidth="1"/>
    <col min="10" max="10" width="8.88671875" customWidth="1"/>
  </cols>
  <sheetData>
    <row r="1" spans="1:21" x14ac:dyDescent="0.3">
      <c r="A1" t="s">
        <v>7</v>
      </c>
      <c r="B1" s="2" t="s">
        <v>8</v>
      </c>
      <c r="C1" s="2">
        <v>1</v>
      </c>
      <c r="D1" s="2" t="s">
        <v>29</v>
      </c>
      <c r="E1" s="2" t="s">
        <v>30</v>
      </c>
      <c r="F1" s="3" t="s">
        <v>31</v>
      </c>
      <c r="G1" s="3">
        <v>6</v>
      </c>
      <c r="H1" s="3">
        <v>7</v>
      </c>
      <c r="I1" s="3" t="s">
        <v>32</v>
      </c>
      <c r="J1" s="4" t="s">
        <v>33</v>
      </c>
      <c r="K1" s="4">
        <v>10</v>
      </c>
      <c r="L1" s="4">
        <v>11</v>
      </c>
      <c r="M1" s="4">
        <v>12</v>
      </c>
      <c r="N1" s="5" t="s">
        <v>34</v>
      </c>
      <c r="O1" s="5" t="s">
        <v>35</v>
      </c>
      <c r="P1" s="5">
        <v>15</v>
      </c>
      <c r="Q1" s="5">
        <v>16</v>
      </c>
      <c r="R1" s="6">
        <v>17</v>
      </c>
      <c r="S1" s="6">
        <v>18</v>
      </c>
      <c r="T1" s="6">
        <v>19</v>
      </c>
      <c r="U1" s="6">
        <v>20</v>
      </c>
    </row>
    <row r="3" spans="1:21" x14ac:dyDescent="0.3">
      <c r="A3" s="2" t="s">
        <v>9</v>
      </c>
      <c r="B3" t="str">
        <f>IF(ISTEXT(B1),DEC2BIN(CODE(B1),8),DEC2BIN(B1,8))</f>
        <v>01100001</v>
      </c>
    </row>
    <row r="4" spans="1:21" x14ac:dyDescent="0.3">
      <c r="A4" s="2" t="s">
        <v>10</v>
      </c>
      <c r="B4" t="str">
        <f>IF(ISTEXT(C1),DEC2BIN(CODE(C1),8),DEC2BIN(C1,8))</f>
        <v>00000001</v>
      </c>
    </row>
    <row r="5" spans="1:21" x14ac:dyDescent="0.3">
      <c r="A5" s="2" t="s">
        <v>11</v>
      </c>
      <c r="B5" t="str">
        <f>IF(ISTEXT(D1),DEC2BIN(CODE(D1),8),DEC2BIN(D1,8))</f>
        <v>01100010</v>
      </c>
    </row>
    <row r="6" spans="1:21" x14ac:dyDescent="0.3">
      <c r="A6" s="2" t="s">
        <v>12</v>
      </c>
      <c r="B6" t="str">
        <f>IF(ISTEXT(E1),DEC2BIN(CODE(E1),8),DEC2BIN(E1,8))</f>
        <v>01100011</v>
      </c>
    </row>
    <row r="8" spans="1:21" x14ac:dyDescent="0.3">
      <c r="A8" s="2" t="s">
        <v>36</v>
      </c>
      <c r="B8" t="str">
        <f>B3&amp;B4&amp;B5&amp;B6</f>
        <v>01100001000000010110001001100011</v>
      </c>
    </row>
    <row r="11" spans="1:21" x14ac:dyDescent="0.3">
      <c r="A11" s="7" t="s">
        <v>0</v>
      </c>
    </row>
    <row r="14" spans="1:21" x14ac:dyDescent="0.3">
      <c r="A14" s="7" t="s">
        <v>1</v>
      </c>
      <c r="B14" t="str">
        <f>RIGHT(B8,2)&amp;LEFT(B8,30)</f>
        <v>11011000010000000101100010011000</v>
      </c>
      <c r="F14">
        <f>BIN2DEC(LEFT(B14,8))</f>
        <v>216</v>
      </c>
      <c r="G14">
        <f>BIN2DEC(MID(B14,9,8))</f>
        <v>64</v>
      </c>
      <c r="H14">
        <f>BIN2DEC(MID(B14,17,8))</f>
        <v>88</v>
      </c>
      <c r="I14">
        <f>BIN2DEC(RIGHT(B14,8))</f>
        <v>152</v>
      </c>
    </row>
    <row r="16" spans="1:21" x14ac:dyDescent="0.3">
      <c r="A16" s="7" t="s">
        <v>37</v>
      </c>
      <c r="B16" t="str">
        <f>RIGHT(B8,13)&amp;LEFT(B8,19)</f>
        <v>00010011000110110000100000001011</v>
      </c>
      <c r="F16">
        <f>BIN2DEC(LEFT(B16,8))</f>
        <v>19</v>
      </c>
      <c r="G16">
        <f>BIN2DEC(MID(B16,9,8))</f>
        <v>27</v>
      </c>
      <c r="H16">
        <f>BIN2DEC(MID(B16,17,8))</f>
        <v>8</v>
      </c>
      <c r="I16">
        <f>BIN2DEC(RIGHT(B16,8))</f>
        <v>11</v>
      </c>
    </row>
    <row r="18" spans="1:12" x14ac:dyDescent="0.3">
      <c r="A18" s="7" t="s">
        <v>3</v>
      </c>
      <c r="B18" t="str">
        <f>RIGHT(B8,22)&amp;LEFT(B8,10)</f>
        <v>00000101100010011000110110000100</v>
      </c>
      <c r="F18">
        <f>BIN2DEC(LEFT(B18,8))</f>
        <v>5</v>
      </c>
      <c r="G18">
        <f>BIN2DEC(MID(B18,9,8))</f>
        <v>137</v>
      </c>
      <c r="H18">
        <f>BIN2DEC(MID(B18,17,8))</f>
        <v>141</v>
      </c>
      <c r="I18">
        <f>BIN2DEC(RIGHT(B18,8))</f>
        <v>132</v>
      </c>
    </row>
    <row r="20" spans="1:12" x14ac:dyDescent="0.3">
      <c r="F20">
        <f>_xlfn.BITXOR(_xlfn.BITXOR(F14,F16),F18)</f>
        <v>206</v>
      </c>
      <c r="G20">
        <f>_xlfn.BITXOR(_xlfn.BITXOR(G14,G16),G18)</f>
        <v>210</v>
      </c>
      <c r="H20">
        <f>_xlfn.BITXOR(_xlfn.BITXOR(H14,H16),H18)</f>
        <v>221</v>
      </c>
      <c r="I20">
        <f>_xlfn.BITXOR(_xlfn.BITXOR(I14,I16),I18)</f>
        <v>23</v>
      </c>
    </row>
    <row r="22" spans="1:12" x14ac:dyDescent="0.3">
      <c r="E22" s="7" t="s">
        <v>4</v>
      </c>
      <c r="F22">
        <f>F20*256^3+G20*256^2+H20*256+I20</f>
        <v>3469925655</v>
      </c>
      <c r="J22">
        <f>TRUNC(F22/(256^3))</f>
        <v>206</v>
      </c>
      <c r="K22">
        <f>MOD(F22,256^3)</f>
        <v>13819159</v>
      </c>
      <c r="L22" t="str">
        <f>DEC2BIN(J22,8)</f>
        <v>11001110</v>
      </c>
    </row>
    <row r="24" spans="1:12" x14ac:dyDescent="0.3">
      <c r="F24">
        <f>K22</f>
        <v>13819159</v>
      </c>
      <c r="J24">
        <f>TRUNC(F24/(256^2))</f>
        <v>210</v>
      </c>
      <c r="K24">
        <f>MOD(F24,256^2)</f>
        <v>56599</v>
      </c>
      <c r="L24" t="str">
        <f>DEC2BIN(J24,8)</f>
        <v>11010010</v>
      </c>
    </row>
    <row r="26" spans="1:12" x14ac:dyDescent="0.3">
      <c r="F26">
        <f>K24</f>
        <v>56599</v>
      </c>
      <c r="J26">
        <f>TRUNC(F26/(256))</f>
        <v>221</v>
      </c>
      <c r="K26">
        <f>MOD(F26,256)</f>
        <v>23</v>
      </c>
      <c r="L26" t="str">
        <f>DEC2BIN(J26,8)</f>
        <v>11011101</v>
      </c>
    </row>
    <row r="28" spans="1:12" x14ac:dyDescent="0.3">
      <c r="F28">
        <f>K26</f>
        <v>23</v>
      </c>
      <c r="J28">
        <f>F28</f>
        <v>23</v>
      </c>
      <c r="K28">
        <f>J28</f>
        <v>23</v>
      </c>
      <c r="L28" t="str">
        <f>DEC2BIN(J28,8)</f>
        <v>00010111</v>
      </c>
    </row>
    <row r="30" spans="1:12" x14ac:dyDescent="0.3">
      <c r="E30" s="7" t="s">
        <v>4</v>
      </c>
      <c r="F30" t="str">
        <f>L22&amp;L24&amp;L26&amp;L28</f>
        <v>11001110110100101101110100010111</v>
      </c>
    </row>
    <row r="31" spans="1:12" x14ac:dyDescent="0.3">
      <c r="E31" s="7"/>
    </row>
    <row r="32" spans="1:12" x14ac:dyDescent="0.3">
      <c r="A32" s="2" t="s">
        <v>36</v>
      </c>
      <c r="B32" t="str">
        <f>B3&amp;B4&amp;B5&amp;B6</f>
        <v>01100001000000010110001001100011</v>
      </c>
      <c r="E32" s="7"/>
    </row>
    <row r="34" spans="1:12" x14ac:dyDescent="0.3">
      <c r="A34" s="7" t="s">
        <v>38</v>
      </c>
    </row>
    <row r="37" spans="1:12" x14ac:dyDescent="0.3">
      <c r="A37" s="7" t="s">
        <v>39</v>
      </c>
      <c r="B37" t="str">
        <f>RIGHT(B32,6)&amp;LEFT(B32,26)</f>
        <v>10001101100001000000010110001001</v>
      </c>
      <c r="F37">
        <f>BIN2DEC(LEFT(B37,8))</f>
        <v>141</v>
      </c>
      <c r="G37">
        <f>BIN2DEC(MID(B37,9,8))</f>
        <v>132</v>
      </c>
      <c r="H37">
        <f>BIN2DEC(MID(B37,17,8))</f>
        <v>5</v>
      </c>
      <c r="I37">
        <f>BIN2DEC(RIGHT(B37,8))</f>
        <v>137</v>
      </c>
    </row>
    <row r="39" spans="1:12" x14ac:dyDescent="0.3">
      <c r="A39" s="7" t="s">
        <v>40</v>
      </c>
      <c r="B39" t="str">
        <f>RIGHT(B32,11)&amp;LEFT(B32,21)</f>
        <v>01001100011011000010000000101100</v>
      </c>
      <c r="F39">
        <f>BIN2DEC(LEFT(B39,8))</f>
        <v>76</v>
      </c>
      <c r="G39">
        <f>BIN2DEC(MID(B39,9,8))</f>
        <v>108</v>
      </c>
      <c r="H39">
        <f>BIN2DEC(MID(B39,17,8))</f>
        <v>32</v>
      </c>
      <c r="I39">
        <f>BIN2DEC(RIGHT(B39,8))</f>
        <v>44</v>
      </c>
    </row>
    <row r="41" spans="1:12" x14ac:dyDescent="0.3">
      <c r="A41" s="7" t="s">
        <v>41</v>
      </c>
      <c r="B41" t="str">
        <f>RIGHT(B32,25)&amp;LEFT(B32,7)</f>
        <v>10000000101100010011000110110000</v>
      </c>
      <c r="F41">
        <f>BIN2DEC(LEFT(B41,8))</f>
        <v>128</v>
      </c>
      <c r="G41">
        <f>BIN2DEC(MID(B41,9,8))</f>
        <v>177</v>
      </c>
      <c r="H41">
        <f>BIN2DEC(MID(B41,17,8))</f>
        <v>49</v>
      </c>
      <c r="I41">
        <f>BIN2DEC(RIGHT(B41,8))</f>
        <v>176</v>
      </c>
    </row>
    <row r="43" spans="1:12" x14ac:dyDescent="0.3">
      <c r="F43">
        <f>_xlfn.BITXOR(_xlfn.BITXOR(F37,F39),F41)</f>
        <v>65</v>
      </c>
      <c r="G43">
        <f>_xlfn.BITXOR(_xlfn.BITXOR(G37,G39),G41)</f>
        <v>89</v>
      </c>
      <c r="H43">
        <f>_xlfn.BITXOR(_xlfn.BITXOR(H37,H39),H41)</f>
        <v>20</v>
      </c>
      <c r="I43">
        <f>_xlfn.BITXOR(_xlfn.BITXOR(I37,I39),I41)</f>
        <v>21</v>
      </c>
    </row>
    <row r="45" spans="1:12" x14ac:dyDescent="0.3">
      <c r="E45" s="7" t="s">
        <v>42</v>
      </c>
      <c r="F45">
        <f>F43*256^3+G43*256^2+H43*256+I43</f>
        <v>1096356885</v>
      </c>
      <c r="J45">
        <f>TRUNC(F45/(256^3))</f>
        <v>65</v>
      </c>
      <c r="K45">
        <f>MOD(F45,256^3)</f>
        <v>5837845</v>
      </c>
      <c r="L45" t="str">
        <f>DEC2BIN(J45,8)</f>
        <v>01000001</v>
      </c>
    </row>
    <row r="47" spans="1:12" x14ac:dyDescent="0.3">
      <c r="F47">
        <f>K45</f>
        <v>5837845</v>
      </c>
      <c r="J47">
        <f>TRUNC(F47/(256^2))</f>
        <v>89</v>
      </c>
      <c r="K47">
        <f>MOD(F47,256^2)</f>
        <v>5141</v>
      </c>
      <c r="L47" t="str">
        <f>DEC2BIN(J47,8)</f>
        <v>01011001</v>
      </c>
    </row>
    <row r="49" spans="1:12" x14ac:dyDescent="0.3">
      <c r="F49">
        <f>K47</f>
        <v>5141</v>
      </c>
      <c r="J49">
        <f>TRUNC(F49/(256))</f>
        <v>20</v>
      </c>
      <c r="K49">
        <f>MOD(F49,256)</f>
        <v>21</v>
      </c>
      <c r="L49" t="str">
        <f>DEC2BIN(K49,8)</f>
        <v>00010101</v>
      </c>
    </row>
    <row r="51" spans="1:12" x14ac:dyDescent="0.3">
      <c r="F51">
        <f>J49</f>
        <v>20</v>
      </c>
      <c r="J51">
        <f>F51</f>
        <v>20</v>
      </c>
      <c r="K51">
        <f>J51</f>
        <v>20</v>
      </c>
      <c r="L51" t="str">
        <f>DEC2BIN(K51,8)</f>
        <v>00010100</v>
      </c>
    </row>
    <row r="53" spans="1:12" x14ac:dyDescent="0.3">
      <c r="E53" s="7" t="s">
        <v>42</v>
      </c>
      <c r="F53" t="str">
        <f>L45&amp;L47&amp;L49&amp;L51</f>
        <v>01000001010110010001010100010100</v>
      </c>
    </row>
    <row r="54" spans="1:12" x14ac:dyDescent="0.3">
      <c r="E54" s="7"/>
    </row>
    <row r="55" spans="1:12" x14ac:dyDescent="0.3">
      <c r="A55" s="2" t="s">
        <v>36</v>
      </c>
      <c r="B55" t="str">
        <f>B3&amp;B4&amp;B5&amp;B6</f>
        <v>01100001000000010110001001100011</v>
      </c>
      <c r="E55" s="7"/>
    </row>
    <row r="56" spans="1:12" x14ac:dyDescent="0.3">
      <c r="E56" s="7"/>
    </row>
    <row r="57" spans="1:12" x14ac:dyDescent="0.3">
      <c r="A57" s="7" t="s">
        <v>43</v>
      </c>
      <c r="E57" s="7"/>
    </row>
    <row r="58" spans="1:12" x14ac:dyDescent="0.3">
      <c r="E58" s="7"/>
    </row>
    <row r="59" spans="1:12" x14ac:dyDescent="0.3">
      <c r="E59" s="7"/>
    </row>
    <row r="60" spans="1:12" x14ac:dyDescent="0.3">
      <c r="E60" s="7"/>
    </row>
    <row r="61" spans="1:12" x14ac:dyDescent="0.3">
      <c r="E61" s="7"/>
    </row>
    <row r="62" spans="1:12" x14ac:dyDescent="0.3">
      <c r="E62" s="7"/>
    </row>
    <row r="63" spans="1:12" x14ac:dyDescent="0.3">
      <c r="E63" s="7"/>
    </row>
    <row r="64" spans="1:12" x14ac:dyDescent="0.3">
      <c r="E64" s="7"/>
    </row>
    <row r="65" spans="5:5" x14ac:dyDescent="0.3">
      <c r="E65" s="7"/>
    </row>
    <row r="66" spans="5:5" x14ac:dyDescent="0.3">
      <c r="E66" s="7"/>
    </row>
    <row r="67" spans="5:5" x14ac:dyDescent="0.3">
      <c r="E67" s="7"/>
    </row>
    <row r="68" spans="5:5" x14ac:dyDescent="0.3">
      <c r="E68" s="7"/>
    </row>
    <row r="69" spans="5:5" x14ac:dyDescent="0.3">
      <c r="E69" s="7"/>
    </row>
    <row r="70" spans="5:5" x14ac:dyDescent="0.3">
      <c r="E70" s="7"/>
    </row>
    <row r="71" spans="5:5" x14ac:dyDescent="0.3">
      <c r="E71" s="7"/>
    </row>
    <row r="72" spans="5:5" x14ac:dyDescent="0.3">
      <c r="E72" s="7"/>
    </row>
    <row r="73" spans="5:5" x14ac:dyDescent="0.3">
      <c r="E73" s="7"/>
    </row>
    <row r="74" spans="5:5" x14ac:dyDescent="0.3">
      <c r="E74" s="7"/>
    </row>
    <row r="75" spans="5:5" x14ac:dyDescent="0.3">
      <c r="E75" s="7"/>
    </row>
    <row r="76" spans="5:5" x14ac:dyDescent="0.3">
      <c r="E76" s="7"/>
    </row>
    <row r="77" spans="5:5" x14ac:dyDescent="0.3">
      <c r="E77" s="7"/>
    </row>
    <row r="78" spans="5:5" x14ac:dyDescent="0.3">
      <c r="E78" s="7"/>
    </row>
    <row r="79" spans="5:5" x14ac:dyDescent="0.3">
      <c r="E79" s="7"/>
    </row>
    <row r="80" spans="5:5" x14ac:dyDescent="0.3">
      <c r="E80" s="7"/>
    </row>
    <row r="81" spans="1:5" x14ac:dyDescent="0.3">
      <c r="E81" s="7"/>
    </row>
    <row r="82" spans="1:5" x14ac:dyDescent="0.3">
      <c r="E82" s="7"/>
    </row>
    <row r="83" spans="1:5" x14ac:dyDescent="0.3">
      <c r="E83" s="7"/>
    </row>
    <row r="86" spans="1:5" x14ac:dyDescent="0.3">
      <c r="A86" s="3" t="s">
        <v>13</v>
      </c>
      <c r="B86" t="str">
        <f>IF(ISTEXT(F1),DEC2BIN(CODE(F1),8),DEC2BIN(F1,8))</f>
        <v>01100100</v>
      </c>
    </row>
    <row r="87" spans="1:5" x14ac:dyDescent="0.3">
      <c r="A87" s="3" t="s">
        <v>14</v>
      </c>
      <c r="B87" t="str">
        <f>IF(ISTEXT(G1),DEC2BIN(CODE(G1),8),DEC2BIN(G1,8))</f>
        <v>00000110</v>
      </c>
    </row>
    <row r="88" spans="1:5" x14ac:dyDescent="0.3">
      <c r="A88" s="3" t="s">
        <v>15</v>
      </c>
      <c r="B88" t="str">
        <f>IF(ISTEXT(H1),DEC2BIN(CODE(H1),8),DEC2BIN(H1,8))</f>
        <v>00000111</v>
      </c>
    </row>
    <row r="89" spans="1:5" x14ac:dyDescent="0.3">
      <c r="A89" s="3" t="s">
        <v>16</v>
      </c>
      <c r="B89" t="str">
        <f>IF(ISTEXT(I1),DEC2BIN(CODE(I1),8),DEC2BIN(I1,8))</f>
        <v>00101110</v>
      </c>
    </row>
    <row r="91" spans="1:5" x14ac:dyDescent="0.3">
      <c r="A91" s="3" t="s">
        <v>36</v>
      </c>
      <c r="B91" t="str">
        <f>B86&amp;B87&amp;B88&amp;B89</f>
        <v>01100100000001100000011100101110</v>
      </c>
    </row>
    <row r="102" spans="1:2" x14ac:dyDescent="0.3">
      <c r="A102" s="4" t="s">
        <v>17</v>
      </c>
      <c r="B102" t="str">
        <f>IF(ISTEXT(J1),DEC2BIN(CODE(J1),8),DEC2BIN(J1,8))</f>
        <v>01011111</v>
      </c>
    </row>
    <row r="103" spans="1:2" x14ac:dyDescent="0.3">
      <c r="A103" s="4" t="s">
        <v>18</v>
      </c>
      <c r="B103" t="str">
        <f>IF(ISTEXT(K1),DEC2BIN(CODE(K1),8),DEC2BIN(K1,8))</f>
        <v>00001010</v>
      </c>
    </row>
    <row r="104" spans="1:2" x14ac:dyDescent="0.3">
      <c r="A104" s="4" t="s">
        <v>19</v>
      </c>
      <c r="B104" t="str">
        <f>IF(ISTEXT(L1),DEC2BIN(CODE(L1),8),DEC2BIN(L1,8))</f>
        <v>00001011</v>
      </c>
    </row>
    <row r="105" spans="1:2" x14ac:dyDescent="0.3">
      <c r="A105" s="4" t="s">
        <v>20</v>
      </c>
      <c r="B105" t="str">
        <f>IF(ISTEXT(M1),DEC2BIN(CODE(M1),8),DEC2BIN(M1,8))</f>
        <v>00001100</v>
      </c>
    </row>
    <row r="107" spans="1:2" x14ac:dyDescent="0.3">
      <c r="A107" s="4" t="s">
        <v>36</v>
      </c>
      <c r="B107" t="str">
        <f>B102&amp;B103&amp;B104&amp;B105</f>
        <v>01011111000010100000101100001100</v>
      </c>
    </row>
    <row r="114" spans="1:2" x14ac:dyDescent="0.3">
      <c r="A114" s="5" t="s">
        <v>21</v>
      </c>
      <c r="B114" t="str">
        <f>IF(ISTEXT(N1),DEC2BIN(CODE(N1),8),DEC2BIN(N1,8))</f>
        <v>01100111</v>
      </c>
    </row>
    <row r="115" spans="1:2" x14ac:dyDescent="0.3">
      <c r="A115" s="5" t="s">
        <v>22</v>
      </c>
      <c r="B115" t="str">
        <f>IF(ISTEXT(O1),DEC2BIN(CODE(O1),8),DEC2BIN(O1,8))</f>
        <v>01110000</v>
      </c>
    </row>
    <row r="116" spans="1:2" x14ac:dyDescent="0.3">
      <c r="A116" s="5" t="s">
        <v>23</v>
      </c>
      <c r="B116" t="str">
        <f>IF(ISTEXT(P1),DEC2BIN(CODE(P1),8),DEC2BIN(P1,8))</f>
        <v>00001111</v>
      </c>
    </row>
    <row r="117" spans="1:2" x14ac:dyDescent="0.3">
      <c r="A117" s="5" t="s">
        <v>24</v>
      </c>
      <c r="B117" t="str">
        <f>IF(ISTEXT(Q1),DEC2BIN(CODE(Q1),8),DEC2BIN(Q1,8))</f>
        <v>00010000</v>
      </c>
    </row>
    <row r="119" spans="1:2" x14ac:dyDescent="0.3">
      <c r="A119" s="5" t="s">
        <v>36</v>
      </c>
      <c r="B119" t="str">
        <f>B114&amp;B115&amp;B116&amp;B117</f>
        <v>01100111011100000000111100010000</v>
      </c>
    </row>
    <row r="122" spans="1:2" x14ac:dyDescent="0.3">
      <c r="A122" s="6" t="s">
        <v>25</v>
      </c>
      <c r="B122" t="str">
        <f>IF(ISTEXT(R1),DEC2BIN(CODE(R1),8),DEC2BIN(R1,8))</f>
        <v>00010001</v>
      </c>
    </row>
    <row r="123" spans="1:2" x14ac:dyDescent="0.3">
      <c r="A123" s="6" t="s">
        <v>26</v>
      </c>
      <c r="B123" t="str">
        <f>IF(ISTEXT(S1),DEC2BIN(CODE(S1),8),DEC2BIN(S1,8))</f>
        <v>00010010</v>
      </c>
    </row>
    <row r="124" spans="1:2" x14ac:dyDescent="0.3">
      <c r="A124" s="6" t="s">
        <v>27</v>
      </c>
      <c r="B124" t="str">
        <f>IF(ISTEXT(T1),DEC2BIN(CODE(T1),8),DEC2BIN(T1,8))</f>
        <v>00010011</v>
      </c>
    </row>
    <row r="125" spans="1:2" x14ac:dyDescent="0.3">
      <c r="A125" s="6" t="s">
        <v>28</v>
      </c>
      <c r="B125" t="str">
        <f>IF(ISTEXT(U1),DEC2BIN(CODE(U1),8),DEC2BIN(U1,8))</f>
        <v>00010100</v>
      </c>
    </row>
    <row r="127" spans="1:2" x14ac:dyDescent="0.3">
      <c r="A127" s="6" t="s">
        <v>36</v>
      </c>
      <c r="B127" t="str">
        <f>B122&amp;B123&amp;B124&amp;B125</f>
        <v>00010001000100100001001100010100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Folha1</vt:lpstr>
      <vt:lpstr>Folha3</vt:lpstr>
      <vt:lpstr>Folha2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Silva</dc:creator>
  <cp:lastModifiedBy>Rui Silva</cp:lastModifiedBy>
  <dcterms:created xsi:type="dcterms:W3CDTF">2024-11-17T16:49:12Z</dcterms:created>
  <dcterms:modified xsi:type="dcterms:W3CDTF">2026-01-23T23:31:26Z</dcterms:modified>
</cp:coreProperties>
</file>